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3" autoFilterDateGrouping="1"/>
  </bookViews>
  <sheets>
    <sheet xmlns:r="http://schemas.openxmlformats.org/officeDocument/2006/relationships" name="运营指标" sheetId="1" state="visible" r:id="rId1"/>
    <sheet xmlns:r="http://schemas.openxmlformats.org/officeDocument/2006/relationships" name="全院排名" sheetId="2" state="visible" r:id="rId2"/>
    <sheet xmlns:r="http://schemas.openxmlformats.org/officeDocument/2006/relationships" name="采购入库" sheetId="3" state="visible" r:id="rId3"/>
    <sheet xmlns:r="http://schemas.openxmlformats.org/officeDocument/2006/relationships" name="出库领用" sheetId="4" state="visible" r:id="rId4"/>
    <sheet xmlns:r="http://schemas.openxmlformats.org/officeDocument/2006/relationships" name="填写说明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0_ "/>
    <numFmt numFmtId="165" formatCode="0.000_ "/>
    <numFmt numFmtId="166" formatCode="0_);[Red]\(0\)"/>
    <numFmt numFmtId="167" formatCode="0_ "/>
    <numFmt numFmtId="168" formatCode="0.0%"/>
    <numFmt numFmtId="169" formatCode="0.0_ "/>
  </numFmts>
  <fonts count="38">
    <font>
      <name val="宋体"/>
      <charset val="134"/>
      <color theme="1"/>
      <sz val="11"/>
      <scheme val="minor"/>
    </font>
    <font>
      <name val="宋体"/>
      <charset val="134"/>
      <b val="1"/>
      <sz val="14"/>
      <scheme val="minor"/>
    </font>
    <font>
      <name val="Book Antiqua"/>
      <charset val="134"/>
      <color theme="1"/>
      <sz val="9.75"/>
    </font>
    <font>
      <name val="Book Antiqua"/>
      <charset val="134"/>
      <color theme="1"/>
      <sz val="10"/>
    </font>
    <font>
      <name val="Book Antiqua"/>
      <charset val="134"/>
      <color rgb="FF000000"/>
      <sz val="9.800000000000001"/>
    </font>
    <font>
      <name val="宋体"/>
      <charset val="134"/>
      <b val="1"/>
      <sz val="11"/>
      <scheme val="minor"/>
    </font>
    <font>
      <name val="宋体"/>
      <charset val="134"/>
      <color indexed="8"/>
      <sz val="7"/>
    </font>
    <font>
      <name val="宋体"/>
      <charset val="134"/>
      <color indexed="8"/>
      <sz val="9"/>
    </font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sz val="12"/>
    </font>
    <font>
      <name val="宋体"/>
      <charset val="134"/>
      <sz val="20"/>
    </font>
    <font>
      <name val="仿宋体"/>
      <charset val="134"/>
      <color indexed="8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微软雅黑"/>
      <charset val="134"/>
      <b val="1"/>
      <sz val="12"/>
    </font>
    <font>
      <name val="微软雅黑"/>
      <charset val="134"/>
      <b val="1"/>
      <color rgb="FFFF0000"/>
      <sz val="12"/>
    </font>
    <font>
      <name val="宋体"/>
      <charset val="134"/>
      <color rgb="FFFF0000"/>
      <sz val="12"/>
    </font>
    <font>
      <name val="宋体"/>
      <charset val="134"/>
      <b val="1"/>
      <color rgb="FFFF0000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auto="1"/>
      </top>
      <bottom/>
      <diagonal/>
    </border>
  </borders>
  <cellStyleXfs count="51">
    <xf numFmtId="0" fontId="8" fillId="0" borderId="0"/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8" fillId="4" borderId="11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12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6" fillId="0" borderId="0" applyAlignment="1">
      <alignment vertical="center"/>
    </xf>
    <xf numFmtId="0" fontId="27" fillId="5" borderId="14" applyAlignment="1">
      <alignment vertical="center"/>
    </xf>
    <xf numFmtId="0" fontId="28" fillId="6" borderId="15" applyAlignment="1">
      <alignment vertical="center"/>
    </xf>
    <xf numFmtId="0" fontId="29" fillId="6" borderId="14" applyAlignment="1">
      <alignment vertical="center"/>
    </xf>
    <xf numFmtId="0" fontId="30" fillId="7" borderId="16" applyAlignment="1">
      <alignment vertical="center"/>
    </xf>
    <xf numFmtId="0" fontId="31" fillId="0" borderId="17" applyAlignment="1">
      <alignment vertical="center"/>
    </xf>
    <xf numFmtId="0" fontId="32" fillId="0" borderId="18" applyAlignment="1">
      <alignment vertical="center"/>
    </xf>
    <xf numFmtId="0" fontId="33" fillId="8" borderId="0" applyAlignment="1">
      <alignment vertical="center"/>
    </xf>
    <xf numFmtId="0" fontId="34" fillId="9" borderId="0" applyAlignment="1">
      <alignment vertical="center"/>
    </xf>
    <xf numFmtId="0" fontId="35" fillId="10" borderId="0" applyAlignment="1">
      <alignment vertical="center"/>
    </xf>
    <xf numFmtId="0" fontId="36" fillId="11" borderId="0" applyAlignment="1">
      <alignment vertical="center"/>
    </xf>
    <xf numFmtId="0" fontId="37" fillId="12" borderId="0" applyAlignment="1">
      <alignment vertical="center"/>
    </xf>
    <xf numFmtId="0" fontId="37" fillId="13" borderId="0" applyAlignment="1">
      <alignment vertical="center"/>
    </xf>
    <xf numFmtId="0" fontId="36" fillId="14" borderId="0" applyAlignment="1">
      <alignment vertical="center"/>
    </xf>
    <xf numFmtId="0" fontId="36" fillId="15" borderId="0" applyAlignment="1">
      <alignment vertical="center"/>
    </xf>
    <xf numFmtId="0" fontId="37" fillId="16" borderId="0" applyAlignment="1">
      <alignment vertical="center"/>
    </xf>
    <xf numFmtId="0" fontId="37" fillId="17" borderId="0" applyAlignment="1">
      <alignment vertical="center"/>
    </xf>
    <xf numFmtId="0" fontId="36" fillId="18" borderId="0" applyAlignment="1">
      <alignment vertical="center"/>
    </xf>
    <xf numFmtId="0" fontId="36" fillId="19" borderId="0" applyAlignment="1">
      <alignment vertical="center"/>
    </xf>
    <xf numFmtId="0" fontId="37" fillId="20" borderId="0" applyAlignment="1">
      <alignment vertical="center"/>
    </xf>
    <xf numFmtId="0" fontId="37" fillId="21" borderId="0" applyAlignment="1">
      <alignment vertical="center"/>
    </xf>
    <xf numFmtId="0" fontId="36" fillId="22" borderId="0" applyAlignment="1">
      <alignment vertical="center"/>
    </xf>
    <xf numFmtId="0" fontId="36" fillId="23" borderId="0" applyAlignment="1">
      <alignment vertical="center"/>
    </xf>
    <xf numFmtId="0" fontId="37" fillId="24" borderId="0" applyAlignment="1">
      <alignment vertical="center"/>
    </xf>
    <xf numFmtId="0" fontId="37" fillId="25" borderId="0" applyAlignment="1">
      <alignment vertical="center"/>
    </xf>
    <xf numFmtId="0" fontId="36" fillId="26" borderId="0" applyAlignment="1">
      <alignment vertical="center"/>
    </xf>
    <xf numFmtId="0" fontId="36" fillId="27" borderId="0" applyAlignment="1">
      <alignment vertical="center"/>
    </xf>
    <xf numFmtId="0" fontId="37" fillId="28" borderId="0" applyAlignment="1">
      <alignment vertical="center"/>
    </xf>
    <xf numFmtId="0" fontId="37" fillId="29" borderId="0" applyAlignment="1">
      <alignment vertical="center"/>
    </xf>
    <xf numFmtId="0" fontId="36" fillId="30" borderId="0" applyAlignment="1">
      <alignment vertical="center"/>
    </xf>
    <xf numFmtId="0" fontId="36" fillId="31" borderId="0" applyAlignment="1">
      <alignment vertical="center"/>
    </xf>
    <xf numFmtId="0" fontId="37" fillId="32" borderId="0" applyAlignment="1">
      <alignment vertical="center"/>
    </xf>
    <xf numFmtId="0" fontId="37" fillId="33" borderId="0" applyAlignment="1">
      <alignment vertical="center"/>
    </xf>
    <xf numFmtId="0" fontId="36" fillId="34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</cellStyleXfs>
  <cellXfs count="112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49" fontId="2" fillId="0" borderId="1" applyAlignment="1" pivotButton="0" quotePrefix="0" xfId="0">
      <alignment horizontal="right" vertical="center"/>
    </xf>
    <xf numFmtId="0" fontId="0" fillId="2" borderId="0" pivotButton="0" quotePrefix="0" xfId="0"/>
    <xf numFmtId="49" fontId="3" fillId="0" borderId="1" applyAlignment="1" pivotButton="0" quotePrefix="0" xfId="0">
      <alignment horizontal="right" vertical="center"/>
    </xf>
    <xf numFmtId="49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49" fontId="0" fillId="0" borderId="0" pivotButton="0" quotePrefix="0" xfId="0"/>
    <xf numFmtId="49" fontId="4" fillId="0" borderId="1" applyAlignment="1" pivotButton="0" quotePrefix="0" xfId="0">
      <alignment horizontal="right" vertical="center"/>
    </xf>
    <xf numFmtId="49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4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5" fontId="8" fillId="0" borderId="0" applyAlignment="1" pivotButton="0" quotePrefix="0" xfId="0">
      <alignment horizontal="center" wrapText="1"/>
    </xf>
    <xf numFmtId="165" fontId="8" fillId="0" borderId="0" applyAlignment="1" pivotButton="0" quotePrefix="0" xfId="0">
      <alignment vertical="center"/>
    </xf>
    <xf numFmtId="165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166" fontId="10" fillId="0" borderId="0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0" fontId="9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6" applyAlignment="1" pivotButton="0" quotePrefix="0" xfId="0">
      <alignment vertical="center"/>
    </xf>
    <xf numFmtId="0" fontId="10" fillId="0" borderId="6" applyAlignment="1" pivotButton="0" quotePrefix="0" xfId="0">
      <alignment horizontal="center" vertical="center"/>
    </xf>
    <xf numFmtId="0" fontId="10" fillId="3" borderId="6" applyAlignment="1" pivotButton="0" quotePrefix="0" xfId="0">
      <alignment vertical="center"/>
    </xf>
    <xf numFmtId="0" fontId="9" fillId="3" borderId="6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/>
    </xf>
    <xf numFmtId="167" fontId="9" fillId="0" borderId="6" applyAlignment="1" pivotButton="0" quotePrefix="0" xfId="0">
      <alignment vertical="center"/>
    </xf>
    <xf numFmtId="167" fontId="9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6" applyAlignment="1" applyProtection="1" pivotButton="0" quotePrefix="0" xfId="0">
      <alignment horizontal="center" vertical="center"/>
      <protection locked="0" hidden="0"/>
    </xf>
    <xf numFmtId="167" fontId="9" fillId="0" borderId="8" applyAlignment="1" pivotButton="0" quotePrefix="0" xfId="0">
      <alignment horizontal="center" vertical="center"/>
    </xf>
    <xf numFmtId="166" fontId="12" fillId="0" borderId="6" applyAlignment="1" pivotButton="0" quotePrefix="0" xfId="49">
      <alignment horizontal="center" vertical="center" wrapText="1"/>
    </xf>
    <xf numFmtId="167" fontId="9" fillId="0" borderId="9" applyAlignment="1" pivotButton="0" quotePrefix="0" xfId="0">
      <alignment horizontal="center" vertical="center"/>
    </xf>
    <xf numFmtId="167" fontId="10" fillId="3" borderId="6" applyAlignment="1" pivotButton="0" quotePrefix="0" xfId="0">
      <alignment vertical="center"/>
    </xf>
    <xf numFmtId="167" fontId="9" fillId="3" borderId="6" applyAlignment="1" pivotButton="0" quotePrefix="0" xfId="0">
      <alignment horizontal="center" vertical="center"/>
    </xf>
    <xf numFmtId="167" fontId="9" fillId="3" borderId="8" applyAlignment="1" pivotButton="0" quotePrefix="0" xfId="0">
      <alignment horizontal="center" vertical="center"/>
    </xf>
    <xf numFmtId="167" fontId="9" fillId="3" borderId="9" applyAlignment="1" pivotButton="0" quotePrefix="0" xfId="0">
      <alignment horizontal="center" vertical="center"/>
    </xf>
    <xf numFmtId="167" fontId="10" fillId="0" borderId="6" applyAlignment="1" pivotButton="0" quotePrefix="0" xfId="0">
      <alignment vertical="center"/>
    </xf>
    <xf numFmtId="168" fontId="9" fillId="0" borderId="6" applyAlignment="1" pivotButton="0" quotePrefix="0" xfId="0">
      <alignment vertical="center"/>
    </xf>
    <xf numFmtId="0" fontId="13" fillId="0" borderId="6" applyAlignment="1" pivotButton="0" quotePrefix="0" xfId="50">
      <alignment horizontal="left" vertical="center"/>
    </xf>
    <xf numFmtId="167" fontId="9" fillId="0" borderId="6" applyAlignment="1" pivotButton="0" quotePrefix="0" xfId="0">
      <alignment horizontal="center" vertical="center"/>
    </xf>
    <xf numFmtId="167" fontId="10" fillId="0" borderId="6" applyAlignment="1" pivotButton="0" quotePrefix="0" xfId="0">
      <alignment horizontal="center" vertical="center"/>
    </xf>
    <xf numFmtId="167" fontId="10" fillId="0" borderId="8" applyAlignment="1" pivotButton="0" quotePrefix="0" xfId="0">
      <alignment horizontal="center" vertical="center"/>
    </xf>
    <xf numFmtId="167" fontId="10" fillId="0" borderId="9" applyAlignment="1" pivotButton="0" quotePrefix="0" xfId="0">
      <alignment horizontal="center" vertical="center"/>
    </xf>
    <xf numFmtId="0" fontId="14" fillId="0" borderId="6" applyAlignment="1" pivotButton="0" quotePrefix="0" xfId="50">
      <alignment horizontal="left" vertical="center"/>
    </xf>
    <xf numFmtId="166" fontId="9" fillId="0" borderId="6" applyAlignment="1" pivotButton="0" quotePrefix="0" xfId="0">
      <alignment horizontal="center" vertical="center"/>
    </xf>
    <xf numFmtId="166" fontId="14" fillId="0" borderId="6" applyAlignment="1" pivotButton="0" quotePrefix="0" xfId="0">
      <alignment horizontal="left" vertical="center"/>
    </xf>
    <xf numFmtId="166" fontId="13" fillId="0" borderId="6" applyAlignment="1" pivotButton="0" quotePrefix="0" xfId="0">
      <alignment horizontal="left" vertical="center"/>
    </xf>
    <xf numFmtId="167" fontId="9" fillId="0" borderId="0" applyAlignment="1" pivotButton="0" quotePrefix="0" xfId="0">
      <alignment vertical="center"/>
    </xf>
    <xf numFmtId="0" fontId="10" fillId="0" borderId="6" applyAlignment="1" pivotButton="0" quotePrefix="0" xfId="0">
      <alignment horizontal="left" vertical="center"/>
    </xf>
    <xf numFmtId="0" fontId="9" fillId="0" borderId="6" applyAlignment="1" pivotButton="0" quotePrefix="0" xfId="0">
      <alignment horizontal="left" vertical="center"/>
    </xf>
    <xf numFmtId="0" fontId="9" fillId="0" borderId="8" applyAlignment="1" pivotButton="0" quotePrefix="0" xfId="0">
      <alignment horizontal="center" vertical="center"/>
    </xf>
    <xf numFmtId="167" fontId="10" fillId="3" borderId="6" applyAlignment="1" pivotButton="0" quotePrefix="0" xfId="0">
      <alignment horizontal="center" vertical="center"/>
    </xf>
    <xf numFmtId="167" fontId="10" fillId="3" borderId="8" applyAlignment="1" pivotButton="0" quotePrefix="0" xfId="0">
      <alignment horizontal="center" vertical="center"/>
    </xf>
    <xf numFmtId="167" fontId="10" fillId="3" borderId="9" applyAlignment="1" pivotButton="0" quotePrefix="0" xfId="0">
      <alignment horizontal="center" vertical="center"/>
    </xf>
    <xf numFmtId="0" fontId="15" fillId="0" borderId="6" applyAlignment="1" pivotButton="0" quotePrefix="0" xfId="50">
      <alignment vertical="center"/>
    </xf>
    <xf numFmtId="0" fontId="16" fillId="0" borderId="6" applyAlignment="1" pivotButton="0" quotePrefix="0" xfId="0">
      <alignment horizontal="left" vertical="center"/>
    </xf>
    <xf numFmtId="169" fontId="17" fillId="0" borderId="6" applyAlignment="1" pivotButton="0" quotePrefix="0" xfId="0">
      <alignment horizontal="center" vertical="center"/>
    </xf>
    <xf numFmtId="164" fontId="18" fillId="0" borderId="6" applyAlignment="1" pivotButton="0" quotePrefix="0" xfId="0">
      <alignment horizontal="center" vertical="center"/>
    </xf>
    <xf numFmtId="164" fontId="9" fillId="0" borderId="6" applyAlignment="1" pivotButton="0" quotePrefix="0" xfId="0">
      <alignment horizontal="center" vertical="center"/>
    </xf>
    <xf numFmtId="166" fontId="9" fillId="0" borderId="6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vertical="center"/>
    </xf>
    <xf numFmtId="0" fontId="10" fillId="0" borderId="9" applyAlignment="1" pivotButton="0" quotePrefix="0" xfId="0">
      <alignment vertical="center"/>
    </xf>
    <xf numFmtId="166" fontId="9" fillId="0" borderId="6" applyAlignment="1" pivotButton="0" quotePrefix="0" xfId="49">
      <alignment horizontal="center" vertical="center"/>
    </xf>
    <xf numFmtId="0" fontId="10" fillId="0" borderId="9" applyAlignment="1" pivotButton="0" quotePrefix="0" xfId="0">
      <alignment horizontal="left" vertical="center"/>
    </xf>
    <xf numFmtId="0" fontId="10" fillId="0" borderId="10" applyAlignment="1" pivotButton="0" quotePrefix="0" xfId="0">
      <alignment vertical="center" wrapText="1"/>
    </xf>
    <xf numFmtId="0" fontId="9" fillId="0" borderId="6" applyAlignment="1" pivotButton="0" quotePrefix="0" xfId="0">
      <alignment vertical="center"/>
    </xf>
    <xf numFmtId="0" fontId="0" fillId="0" borderId="5" pivotButton="0" quotePrefix="0" xfId="0"/>
    <xf numFmtId="167" fontId="9" fillId="0" borderId="6" applyAlignment="1" pivotButton="0" quotePrefix="0" xfId="0">
      <alignment vertical="center"/>
    </xf>
    <xf numFmtId="167" fontId="9" fillId="0" borderId="6" applyAlignment="1" pivotButton="0" quotePrefix="0" xfId="0">
      <alignment horizontal="center" vertical="center"/>
    </xf>
    <xf numFmtId="167" fontId="9" fillId="0" borderId="8" applyAlignment="1" pivotButton="0" quotePrefix="0" xfId="0">
      <alignment horizontal="center" vertical="center"/>
    </xf>
    <xf numFmtId="166" fontId="12" fillId="0" borderId="6" applyAlignment="1" pivotButton="0" quotePrefix="0" xfId="49">
      <alignment horizontal="center" vertical="center" wrapText="1"/>
    </xf>
    <xf numFmtId="167" fontId="9" fillId="0" borderId="9" applyAlignment="1" pivotButton="0" quotePrefix="0" xfId="0">
      <alignment horizontal="center" vertical="center"/>
    </xf>
    <xf numFmtId="167" fontId="10" fillId="3" borderId="6" applyAlignment="1" pivotButton="0" quotePrefix="0" xfId="0">
      <alignment vertical="center"/>
    </xf>
    <xf numFmtId="167" fontId="9" fillId="3" borderId="6" applyAlignment="1" pivotButton="0" quotePrefix="0" xfId="0">
      <alignment horizontal="center" vertical="center"/>
    </xf>
    <xf numFmtId="167" fontId="9" fillId="3" borderId="8" applyAlignment="1" pivotButton="0" quotePrefix="0" xfId="0">
      <alignment horizontal="center" vertical="center"/>
    </xf>
    <xf numFmtId="167" fontId="9" fillId="3" borderId="9" applyAlignment="1" pivotButton="0" quotePrefix="0" xfId="0">
      <alignment horizontal="center" vertical="center"/>
    </xf>
    <xf numFmtId="167" fontId="10" fillId="0" borderId="6" applyAlignment="1" pivotButton="0" quotePrefix="0" xfId="0">
      <alignment vertical="center"/>
    </xf>
    <xf numFmtId="168" fontId="9" fillId="0" borderId="6" applyAlignment="1" pivotButton="0" quotePrefix="0" xfId="0">
      <alignment vertical="center"/>
    </xf>
    <xf numFmtId="167" fontId="10" fillId="0" borderId="6" applyAlignment="1" pivotButton="0" quotePrefix="0" xfId="0">
      <alignment horizontal="center" vertical="center"/>
    </xf>
    <xf numFmtId="167" fontId="10" fillId="0" borderId="8" applyAlignment="1" pivotButton="0" quotePrefix="0" xfId="0">
      <alignment horizontal="center" vertical="center"/>
    </xf>
    <xf numFmtId="167" fontId="10" fillId="0" borderId="9" applyAlignment="1" pivotButton="0" quotePrefix="0" xfId="0">
      <alignment horizontal="center" vertical="center"/>
    </xf>
    <xf numFmtId="166" fontId="10" fillId="0" borderId="0" applyAlignment="1" pivotButton="0" quotePrefix="0" xfId="0">
      <alignment vertical="center"/>
    </xf>
    <xf numFmtId="166" fontId="9" fillId="0" borderId="6" applyAlignment="1" pivotButton="0" quotePrefix="0" xfId="0">
      <alignment horizontal="center" vertical="center"/>
    </xf>
    <xf numFmtId="166" fontId="14" fillId="0" borderId="6" applyAlignment="1" pivotButton="0" quotePrefix="0" xfId="0">
      <alignment horizontal="left" vertical="center"/>
    </xf>
    <xf numFmtId="166" fontId="9" fillId="0" borderId="0" applyAlignment="1" pivotButton="0" quotePrefix="0" xfId="0">
      <alignment vertical="center"/>
    </xf>
    <xf numFmtId="166" fontId="13" fillId="0" borderId="6" applyAlignment="1" pivotButton="0" quotePrefix="0" xfId="0">
      <alignment horizontal="left" vertical="center"/>
    </xf>
    <xf numFmtId="167" fontId="9" fillId="0" borderId="0" applyAlignment="1" pivotButton="0" quotePrefix="0" xfId="0">
      <alignment vertical="center"/>
    </xf>
    <xf numFmtId="167" fontId="10" fillId="3" borderId="6" applyAlignment="1" pivotButton="0" quotePrefix="0" xfId="0">
      <alignment horizontal="center" vertical="center"/>
    </xf>
    <xf numFmtId="167" fontId="10" fillId="3" borderId="8" applyAlignment="1" pivotButton="0" quotePrefix="0" xfId="0">
      <alignment horizontal="center" vertical="center"/>
    </xf>
    <xf numFmtId="167" fontId="10" fillId="3" borderId="9" applyAlignment="1" pivotButton="0" quotePrefix="0" xfId="0">
      <alignment horizontal="center" vertical="center"/>
    </xf>
    <xf numFmtId="169" fontId="17" fillId="0" borderId="6" applyAlignment="1" pivotButton="0" quotePrefix="0" xfId="0">
      <alignment horizontal="center" vertical="center"/>
    </xf>
    <xf numFmtId="164" fontId="18" fillId="0" borderId="6" applyAlignment="1" pivotButton="0" quotePrefix="0" xfId="0">
      <alignment horizontal="center" vertical="center"/>
    </xf>
    <xf numFmtId="164" fontId="9" fillId="0" borderId="6" applyAlignment="1" pivotButton="0" quotePrefix="0" xfId="0">
      <alignment horizontal="center" vertical="center"/>
    </xf>
    <xf numFmtId="0" fontId="0" fillId="0" borderId="10" pivotButton="0" quotePrefix="0" xfId="0"/>
    <xf numFmtId="166" fontId="9" fillId="0" borderId="6" applyAlignment="1" pivotButton="0" quotePrefix="0" xfId="49">
      <alignment horizontal="center" vertical="center"/>
    </xf>
    <xf numFmtId="164" fontId="8" fillId="0" borderId="0" applyAlignment="1" pivotButton="0" quotePrefix="0" xfId="0">
      <alignment vertical="center"/>
    </xf>
    <xf numFmtId="165" fontId="8" fillId="0" borderId="0" applyAlignment="1" pivotButton="0" quotePrefix="0" xfId="0">
      <alignment horizontal="center" wrapText="1"/>
    </xf>
    <xf numFmtId="165" fontId="8" fillId="0" borderId="0" applyAlignment="1" pivotButton="0" quotePrefix="0" xfId="0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10 3 15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V94"/>
  <sheetViews>
    <sheetView topLeftCell="A35" workbookViewId="0">
      <selection activeCell="D13" sqref="$A1:$XFD1048576"/>
    </sheetView>
  </sheetViews>
  <sheetFormatPr baseColWidth="8" defaultColWidth="9.81818181818182" defaultRowHeight="15"/>
  <cols>
    <col width="48" customWidth="1" style="28" min="1" max="1"/>
    <col width="15.1363636363636" customWidth="1" style="29" min="2" max="15"/>
    <col width="10.3636363636364" customWidth="1" style="28" min="16" max="16"/>
    <col width="9.81818181818182" customWidth="1" style="28" min="17" max="16384"/>
  </cols>
  <sheetData>
    <row r="1" ht="33" customFormat="1" customHeight="1" s="28">
      <c r="A1" s="30" t="inlineStr">
        <is>
          <t>2026年2月病理科运营指标</t>
        </is>
      </c>
      <c r="B1" s="80" t="n"/>
      <c r="C1" s="80" t="n"/>
      <c r="D1" s="80" t="n"/>
      <c r="E1" s="80" t="n"/>
      <c r="F1" s="80" t="n"/>
      <c r="G1" s="80" t="n"/>
      <c r="H1" s="80" t="n"/>
      <c r="I1" s="80" t="n"/>
      <c r="J1" s="29" t="n"/>
      <c r="K1" s="29" t="n"/>
      <c r="L1" s="29" t="n"/>
    </row>
    <row r="2" ht="24" customFormat="1" customHeight="1" s="28">
      <c r="A2" s="32" t="inlineStr">
        <is>
          <t>运营指标\提供数据周期</t>
        </is>
      </c>
      <c r="B2" s="33" t="inlineStr">
        <is>
          <t>2025年度均值</t>
        </is>
      </c>
      <c r="C2" s="33" t="inlineStr">
        <is>
          <t>本年度均值</t>
        </is>
      </c>
      <c r="D2" s="33" t="inlineStr">
        <is>
          <t>1月情况</t>
        </is>
      </c>
      <c r="E2" s="33" t="inlineStr">
        <is>
          <t>2月情况</t>
        </is>
      </c>
      <c r="F2" s="33" t="inlineStr">
        <is>
          <t>3月情况</t>
        </is>
      </c>
      <c r="G2" s="33" t="inlineStr">
        <is>
          <t>4月情况</t>
        </is>
      </c>
      <c r="H2" s="33" t="inlineStr">
        <is>
          <t>5月情况</t>
        </is>
      </c>
      <c r="I2" s="33" t="inlineStr">
        <is>
          <t>6月情况</t>
        </is>
      </c>
      <c r="J2" s="33" t="inlineStr">
        <is>
          <t>7月情况</t>
        </is>
      </c>
      <c r="K2" s="33" t="inlineStr">
        <is>
          <t>8月情况</t>
        </is>
      </c>
      <c r="L2" s="33" t="inlineStr">
        <is>
          <t>9月情况</t>
        </is>
      </c>
      <c r="M2" s="33" t="inlineStr">
        <is>
          <t>10月情况</t>
        </is>
      </c>
      <c r="N2" s="33" t="inlineStr">
        <is>
          <t>11月情况</t>
        </is>
      </c>
      <c r="O2" s="33" t="inlineStr">
        <is>
          <t>12月情况</t>
        </is>
      </c>
    </row>
    <row r="3" ht="24" customFormat="1" customHeight="1" s="24">
      <c r="A3" s="34" t="n"/>
      <c r="B3" s="35" t="n"/>
      <c r="C3" s="35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6" t="n"/>
      <c r="O3" s="35" t="n"/>
    </row>
    <row r="4" ht="24" customFormat="1" customHeight="1" s="28">
      <c r="A4" s="81" t="n"/>
      <c r="B4" s="82" t="n"/>
      <c r="C4" s="82">
        <f>AVERAGE(D4:O4)</f>
        <v/>
      </c>
      <c r="D4" s="82" t="n"/>
      <c r="E4" s="82" t="n"/>
      <c r="F4" s="82" t="n"/>
      <c r="G4" s="82" t="n"/>
      <c r="H4" s="82" t="n"/>
      <c r="I4" s="82" t="n"/>
      <c r="J4" s="82" t="n"/>
      <c r="K4" s="39" t="n"/>
      <c r="L4" s="40" t="n"/>
      <c r="M4" s="83" t="n"/>
      <c r="N4" s="84" t="n"/>
      <c r="O4" s="84" t="n"/>
    </row>
    <row r="5" hidden="1" ht="24" customFormat="1" customHeight="1" s="28">
      <c r="A5" s="81" t="n"/>
      <c r="B5" s="82" t="n"/>
      <c r="C5" s="82">
        <f>AVERAGE(D5:O5)</f>
        <v/>
      </c>
      <c r="D5" s="82" t="n"/>
      <c r="E5" s="82" t="n"/>
      <c r="F5" s="82" t="n"/>
      <c r="G5" s="82" t="n"/>
      <c r="H5" s="82" t="n"/>
      <c r="I5" s="82" t="n"/>
      <c r="J5" s="82" t="n"/>
      <c r="K5" s="82" t="n"/>
      <c r="L5" s="82" t="n"/>
      <c r="M5" s="83" t="n"/>
      <c r="N5" s="82" t="n"/>
      <c r="O5" s="85" t="n"/>
    </row>
    <row r="6" ht="20.25" customFormat="1" customHeight="1" s="24">
      <c r="A6" s="86" t="n"/>
      <c r="B6" s="87" t="n"/>
      <c r="C6" s="87" t="n"/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8" t="n"/>
      <c r="N6" s="87" t="n"/>
      <c r="O6" s="89" t="n"/>
    </row>
    <row r="7" hidden="1" ht="20.25" customFormat="1" customHeight="1" s="28">
      <c r="A7" s="90" t="n"/>
      <c r="B7" s="82" t="n"/>
      <c r="C7" s="82" t="n"/>
      <c r="D7" s="82" t="n"/>
      <c r="E7" s="82" t="n"/>
      <c r="F7" s="82" t="n"/>
      <c r="G7" s="82" t="n"/>
      <c r="H7" s="82" t="n"/>
      <c r="I7" s="82" t="n"/>
      <c r="J7" s="82" t="n"/>
      <c r="K7" s="82" t="n"/>
      <c r="L7" s="82" t="n"/>
      <c r="M7" s="83" t="n"/>
      <c r="N7" s="82" t="n"/>
      <c r="O7" s="85" t="n"/>
    </row>
    <row r="8" hidden="1" ht="20.25" customFormat="1" customHeight="1" s="28">
      <c r="A8" s="81" t="n"/>
      <c r="B8" s="82" t="n"/>
      <c r="C8" s="82" t="n"/>
      <c r="D8" s="82" t="n"/>
      <c r="E8" s="82" t="n"/>
      <c r="F8" s="82" t="n"/>
      <c r="G8" s="82" t="n"/>
      <c r="H8" s="82" t="n"/>
      <c r="I8" s="82" t="n"/>
      <c r="J8" s="82" t="n"/>
      <c r="K8" s="82" t="n"/>
      <c r="L8" s="82" t="n"/>
      <c r="M8" s="83" t="n"/>
      <c r="N8" s="82" t="n"/>
      <c r="O8" s="85" t="n"/>
    </row>
    <row r="9" hidden="1" ht="20.25" customFormat="1" customHeight="1" s="28">
      <c r="A9" s="81" t="n"/>
      <c r="B9" s="82" t="n"/>
      <c r="C9" s="82" t="n"/>
      <c r="D9" s="82" t="n"/>
      <c r="E9" s="82" t="n"/>
      <c r="F9" s="82" t="n"/>
      <c r="G9" s="82" t="n"/>
      <c r="H9" s="82" t="n"/>
      <c r="I9" s="82" t="n"/>
      <c r="J9" s="82" t="n"/>
      <c r="K9" s="82" t="n"/>
      <c r="L9" s="82" t="n"/>
      <c r="M9" s="83" t="n"/>
      <c r="N9" s="82" t="n"/>
      <c r="O9" s="85" t="n"/>
    </row>
    <row r="10" hidden="1" ht="20.25" customFormat="1" customHeight="1" s="28">
      <c r="A10" s="81" t="n"/>
      <c r="B10" s="82" t="n"/>
      <c r="C10" s="82" t="n"/>
      <c r="D10" s="82" t="n"/>
      <c r="E10" s="82" t="n"/>
      <c r="F10" s="82" t="n"/>
      <c r="G10" s="82" t="n"/>
      <c r="H10" s="82" t="n"/>
      <c r="I10" s="82" t="n"/>
      <c r="J10" s="82" t="n"/>
      <c r="K10" s="82" t="n"/>
      <c r="L10" s="82" t="n"/>
      <c r="M10" s="83" t="n"/>
      <c r="N10" s="82" t="n"/>
      <c r="O10" s="85" t="n"/>
    </row>
    <row r="11" hidden="1" ht="20.25" customFormat="1" customHeight="1" s="28">
      <c r="A11" s="81" t="n"/>
      <c r="B11" s="82" t="n"/>
      <c r="C11" s="82" t="n"/>
      <c r="D11" s="82" t="n"/>
      <c r="E11" s="82" t="n"/>
      <c r="F11" s="82" t="n"/>
      <c r="G11" s="82" t="n"/>
      <c r="H11" s="82" t="n"/>
      <c r="I11" s="82" t="n"/>
      <c r="J11" s="82" t="n"/>
      <c r="K11" s="82" t="n"/>
      <c r="L11" s="82" t="n"/>
      <c r="M11" s="83" t="n"/>
      <c r="N11" s="82" t="n"/>
      <c r="O11" s="85" t="n"/>
    </row>
    <row r="12" hidden="1" ht="20.25" customFormat="1" customHeight="1" s="28">
      <c r="A12" s="81" t="n"/>
      <c r="B12" s="82" t="n"/>
      <c r="C12" s="82" t="n"/>
      <c r="D12" s="82" t="n"/>
      <c r="E12" s="82" t="n"/>
      <c r="F12" s="82" t="n"/>
      <c r="G12" s="82" t="n"/>
      <c r="H12" s="82" t="n"/>
      <c r="I12" s="82" t="n"/>
      <c r="J12" s="82" t="n"/>
      <c r="K12" s="82" t="n"/>
      <c r="L12" s="82" t="n"/>
      <c r="M12" s="83" t="n"/>
      <c r="N12" s="82" t="n"/>
      <c r="O12" s="85" t="n"/>
    </row>
    <row r="13" hidden="1" ht="20.25" customFormat="1" customHeight="1" s="28">
      <c r="A13" s="81" t="n"/>
      <c r="B13" s="82" t="n"/>
      <c r="C13" s="82" t="n"/>
      <c r="D13" s="82" t="n"/>
      <c r="E13" s="82" t="n"/>
      <c r="F13" s="82" t="n"/>
      <c r="G13" s="82" t="n"/>
      <c r="H13" s="82" t="n"/>
      <c r="I13" s="82" t="n"/>
      <c r="J13" s="82" t="n"/>
      <c r="K13" s="82" t="n"/>
      <c r="L13" s="82" t="n"/>
      <c r="M13" s="83" t="n"/>
      <c r="N13" s="82" t="n"/>
      <c r="O13" s="85" t="n"/>
    </row>
    <row r="14" hidden="1" ht="20.25" customFormat="1" customHeight="1" s="28">
      <c r="A14" s="81" t="n"/>
      <c r="B14" s="82" t="n"/>
      <c r="C14" s="82" t="n"/>
      <c r="D14" s="82" t="n"/>
      <c r="E14" s="82" t="n"/>
      <c r="F14" s="82" t="n"/>
      <c r="G14" s="82" t="n"/>
      <c r="H14" s="82" t="n"/>
      <c r="I14" s="82" t="n"/>
      <c r="J14" s="82" t="n"/>
      <c r="K14" s="82" t="n"/>
      <c r="L14" s="82" t="n"/>
      <c r="M14" s="83" t="n"/>
      <c r="N14" s="82" t="n"/>
      <c r="O14" s="85" t="n"/>
    </row>
    <row r="15" hidden="1" ht="20.25" customFormat="1" customHeight="1" s="28">
      <c r="A15" s="81" t="n"/>
      <c r="B15" s="82" t="n"/>
      <c r="C15" s="82" t="n"/>
      <c r="D15" s="82" t="n"/>
      <c r="E15" s="82" t="n"/>
      <c r="F15" s="82" t="n"/>
      <c r="G15" s="82" t="n"/>
      <c r="H15" s="82" t="n"/>
      <c r="I15" s="82" t="n"/>
      <c r="J15" s="82" t="n"/>
      <c r="K15" s="82" t="n"/>
      <c r="L15" s="82" t="n"/>
      <c r="M15" s="83" t="n"/>
      <c r="N15" s="82" t="n"/>
      <c r="O15" s="85" t="n"/>
    </row>
    <row r="16" hidden="1" ht="20.25" customFormat="1" customHeight="1" s="28">
      <c r="A16" s="81" t="n"/>
      <c r="B16" s="82" t="n"/>
      <c r="C16" s="82" t="n"/>
      <c r="D16" s="82" t="n"/>
      <c r="E16" s="82" t="n"/>
      <c r="F16" s="82" t="n"/>
      <c r="G16" s="82" t="n"/>
      <c r="H16" s="82" t="n"/>
      <c r="I16" s="82" t="n"/>
      <c r="J16" s="82" t="n"/>
      <c r="K16" s="82" t="n"/>
      <c r="L16" s="82" t="n"/>
      <c r="M16" s="83" t="n"/>
      <c r="N16" s="82" t="n"/>
      <c r="O16" s="85" t="n"/>
    </row>
    <row r="17" hidden="1" ht="20.25" customFormat="1" customHeight="1" s="28">
      <c r="A17" s="81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  <c r="L17" s="82" t="n"/>
      <c r="M17" s="83" t="n"/>
      <c r="N17" s="82" t="n"/>
      <c r="O17" s="85" t="n"/>
    </row>
    <row r="18" hidden="1" ht="20.25" customFormat="1" customHeight="1" s="28">
      <c r="A18" s="81" t="n"/>
      <c r="B18" s="82" t="n"/>
      <c r="C18" s="82" t="n"/>
      <c r="D18" s="82" t="n"/>
      <c r="E18" s="82" t="n"/>
      <c r="F18" s="82" t="n"/>
      <c r="G18" s="82" t="n"/>
      <c r="H18" s="82" t="n"/>
      <c r="I18" s="82" t="n"/>
      <c r="J18" s="82" t="n"/>
      <c r="K18" s="82" t="n"/>
      <c r="L18" s="82" t="n"/>
      <c r="M18" s="83" t="n"/>
      <c r="N18" s="82" t="n"/>
      <c r="O18" s="85" t="n"/>
    </row>
    <row r="19" hidden="1" ht="20.25" customFormat="1" customHeight="1" s="28">
      <c r="A19" s="81" t="n"/>
      <c r="B19" s="82" t="n"/>
      <c r="C19" s="82" t="n"/>
      <c r="D19" s="82" t="n"/>
      <c r="E19" s="82" t="n"/>
      <c r="F19" s="82" t="n"/>
      <c r="G19" s="82" t="n"/>
      <c r="H19" s="82" t="n"/>
      <c r="I19" s="82" t="n"/>
      <c r="J19" s="82" t="n"/>
      <c r="K19" s="82" t="n"/>
      <c r="L19" s="82" t="n"/>
      <c r="M19" s="83" t="n"/>
      <c r="N19" s="82" t="n"/>
      <c r="O19" s="85" t="n"/>
    </row>
    <row r="20" hidden="1" ht="20.25" customFormat="1" customHeight="1" s="28">
      <c r="A20" s="81" t="n"/>
      <c r="B20" s="82" t="n"/>
      <c r="C20" s="82" t="n"/>
      <c r="D20" s="82" t="n"/>
      <c r="E20" s="82" t="n"/>
      <c r="F20" s="82" t="n"/>
      <c r="G20" s="82" t="n"/>
      <c r="H20" s="82" t="n"/>
      <c r="I20" s="82" t="n"/>
      <c r="J20" s="82" t="n"/>
      <c r="K20" s="82" t="n"/>
      <c r="L20" s="82" t="n"/>
      <c r="M20" s="83" t="n"/>
      <c r="N20" s="82" t="n"/>
      <c r="O20" s="85" t="n"/>
    </row>
    <row r="21" hidden="1" ht="20.25" customFormat="1" customHeight="1" s="28">
      <c r="A21" s="91" t="n"/>
      <c r="B21" s="82" t="n"/>
      <c r="C21" s="82" t="n"/>
      <c r="D21" s="82" t="n"/>
      <c r="E21" s="82" t="n"/>
      <c r="F21" s="82" t="n"/>
      <c r="G21" s="82" t="n"/>
      <c r="H21" s="82" t="n"/>
      <c r="I21" s="82" t="n"/>
      <c r="J21" s="82" t="n"/>
      <c r="K21" s="82" t="n"/>
      <c r="L21" s="82" t="n"/>
      <c r="M21" s="83" t="n"/>
      <c r="N21" s="82" t="n"/>
      <c r="O21" s="85" t="n"/>
    </row>
    <row r="22" hidden="1" ht="20.25" customFormat="1" customHeight="1" s="28">
      <c r="A22" s="90" t="n"/>
      <c r="B22" s="82" t="n"/>
      <c r="C22" s="82" t="n"/>
      <c r="D22" s="82" t="n"/>
      <c r="E22" s="82" t="n"/>
      <c r="F22" s="82" t="n"/>
      <c r="G22" s="82" t="n"/>
      <c r="H22" s="82" t="n"/>
      <c r="I22" s="82" t="n"/>
      <c r="J22" s="82" t="n"/>
      <c r="K22" s="82" t="n"/>
      <c r="L22" s="82" t="n"/>
      <c r="M22" s="83" t="n"/>
      <c r="N22" s="82" t="n"/>
      <c r="O22" s="85" t="n"/>
    </row>
    <row r="23" ht="20.25" customFormat="1" customHeight="1" s="28">
      <c r="A23" s="90" t="n"/>
      <c r="B23" s="82" t="n"/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  <c r="L23" s="82" t="n"/>
      <c r="M23" s="83" t="n"/>
      <c r="N23" s="82" t="n"/>
      <c r="O23" s="85" t="n"/>
    </row>
    <row r="24" ht="20.25" customFormat="1" customHeight="1" s="28">
      <c r="A24" s="50" t="n"/>
      <c r="B24" s="82" t="n"/>
      <c r="C24" s="82">
        <f>AVERAGE(D24:O24)</f>
        <v/>
      </c>
      <c r="D24" s="82" t="n"/>
      <c r="E24" s="82" t="n"/>
      <c r="F24" s="92" t="n"/>
      <c r="G24" s="92" t="n"/>
      <c r="H24" s="92" t="n"/>
      <c r="I24" s="92" t="n"/>
      <c r="J24" s="92" t="n"/>
      <c r="K24" s="92" t="n"/>
      <c r="L24" s="92" t="n"/>
      <c r="M24" s="93" t="n"/>
      <c r="N24" s="92" t="n"/>
      <c r="O24" s="94" t="n"/>
    </row>
    <row r="25" ht="19.5" customFormat="1" customHeight="1" s="28">
      <c r="A25" s="50" t="n"/>
      <c r="B25" s="82" t="n"/>
      <c r="C25" s="82">
        <f>AVERAGE(D25:O25)</f>
        <v/>
      </c>
      <c r="D25" s="82" t="n"/>
      <c r="E25" s="82" t="n"/>
      <c r="F25" s="92" t="n"/>
      <c r="G25" s="92" t="n"/>
      <c r="H25" s="92" t="n"/>
      <c r="I25" s="92" t="n"/>
      <c r="J25" s="92" t="n"/>
      <c r="K25" s="92" t="n"/>
      <c r="L25" s="92" t="n"/>
      <c r="M25" s="93" t="n"/>
      <c r="N25" s="92" t="n"/>
      <c r="O25" s="94" t="n"/>
    </row>
    <row r="26" ht="20.25" customFormat="1" customHeight="1" s="95">
      <c r="A26" s="55" t="n"/>
      <c r="B26" s="92">
        <f>B24+B25</f>
        <v/>
      </c>
      <c r="C26" s="92">
        <f>C24+C25</f>
        <v/>
      </c>
      <c r="D26" s="92">
        <f>D24+D25</f>
        <v/>
      </c>
      <c r="E26" s="92">
        <f>E24+E25</f>
        <v/>
      </c>
      <c r="F26" s="92" t="n"/>
      <c r="G26" s="92" t="n"/>
      <c r="H26" s="92" t="n"/>
      <c r="I26" s="92" t="n"/>
      <c r="J26" s="92" t="n"/>
      <c r="K26" s="92" t="n"/>
      <c r="L26" s="92" t="n"/>
      <c r="M26" s="92" t="n"/>
      <c r="N26" s="92" t="n"/>
      <c r="O26" s="92" t="n"/>
    </row>
    <row r="27" ht="20.25" customFormat="1" customHeight="1" s="28">
      <c r="A27" s="50" t="n"/>
      <c r="B27" s="82" t="n"/>
      <c r="C27" s="82">
        <f>AVERAGE(D27:O27)</f>
        <v/>
      </c>
      <c r="D27" s="96" t="n"/>
      <c r="E27" s="96" t="n"/>
      <c r="F27" s="96" t="n"/>
      <c r="G27" s="82" t="n"/>
      <c r="H27" s="82" t="n"/>
      <c r="I27" s="82" t="n"/>
      <c r="J27" s="82" t="n"/>
      <c r="K27" s="82" t="n"/>
      <c r="L27" s="82" t="n"/>
      <c r="M27" s="83" t="n"/>
      <c r="N27" s="82" t="n"/>
      <c r="O27" s="85" t="n"/>
    </row>
    <row r="28" ht="20.25" customFormat="1" customHeight="1" s="28">
      <c r="A28" s="50" t="n"/>
      <c r="B28" s="82" t="n"/>
      <c r="C28" s="82">
        <f>AVERAGE(D28:O28)</f>
        <v/>
      </c>
      <c r="D28" s="96" t="n"/>
      <c r="E28" s="96" t="n"/>
      <c r="F28" s="96" t="n"/>
      <c r="G28" s="82" t="n"/>
      <c r="H28" s="82" t="n"/>
      <c r="I28" s="82" t="n"/>
      <c r="J28" s="82" t="n"/>
      <c r="K28" s="82" t="n"/>
      <c r="L28" s="82" t="n"/>
      <c r="M28" s="83" t="n"/>
      <c r="N28" s="82" t="n"/>
      <c r="O28" s="85" t="n"/>
    </row>
    <row r="29" ht="20.25" customFormat="1" customHeight="1" s="28">
      <c r="A29" s="50" t="n"/>
      <c r="B29" s="82" t="n"/>
      <c r="C29" s="82">
        <f>AVERAGE(D29:O29)</f>
        <v/>
      </c>
      <c r="D29" s="96" t="n"/>
      <c r="E29" s="29" t="n"/>
      <c r="F29" s="96" t="n"/>
      <c r="G29" s="82" t="n"/>
      <c r="H29" s="82" t="n"/>
      <c r="I29" s="82" t="n"/>
      <c r="J29" s="82" t="n"/>
      <c r="K29" s="82" t="n"/>
      <c r="L29" s="82" t="n"/>
      <c r="M29" s="83" t="n"/>
      <c r="N29" s="82" t="n"/>
      <c r="O29" s="85" t="n"/>
    </row>
    <row r="30" ht="20.25" customFormat="1" customHeight="1" s="28">
      <c r="A30" s="90" t="n"/>
      <c r="B30" s="92" t="n"/>
      <c r="C30" s="92">
        <f>SUM(C32:C44)</f>
        <v/>
      </c>
      <c r="D30" s="92">
        <f>SUM(D32:D44)</f>
        <v/>
      </c>
      <c r="E30" s="92">
        <f>SUM(E32:E44)</f>
        <v/>
      </c>
      <c r="F30" s="92" t="n"/>
      <c r="G30" s="92" t="n"/>
      <c r="H30" s="92" t="n"/>
      <c r="I30" s="92" t="n"/>
      <c r="J30" s="92" t="n"/>
      <c r="K30" s="92" t="n"/>
      <c r="L30" s="92" t="n"/>
      <c r="M30" s="92" t="n"/>
      <c r="N30" s="92" t="n"/>
      <c r="O30" s="92" t="n"/>
    </row>
    <row r="31" ht="20.25" customFormat="1" customHeight="1" s="28">
      <c r="A31" s="97" t="n"/>
      <c r="B31" s="29" t="n"/>
      <c r="C31" s="29" t="n"/>
      <c r="D31" s="29" t="n"/>
      <c r="E31" s="29" t="n"/>
      <c r="F31" s="29" t="n"/>
      <c r="G31" s="82" t="n"/>
      <c r="H31" s="82" t="n"/>
      <c r="I31" s="82" t="n"/>
      <c r="J31" s="82" t="n"/>
      <c r="K31" s="82" t="n"/>
      <c r="L31" s="82" t="n"/>
      <c r="M31" s="82" t="n"/>
      <c r="N31" s="82" t="n"/>
      <c r="O31" s="82" t="n"/>
    </row>
    <row r="32" ht="20.25" customFormat="1" customHeight="1" s="98">
      <c r="A32" s="99" t="n"/>
      <c r="B32" s="96" t="n"/>
      <c r="C32" s="96">
        <f>AVERAGE(D32:O32)</f>
        <v/>
      </c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3" t="n"/>
      <c r="N32" s="82" t="n"/>
      <c r="O32" s="85" t="n"/>
    </row>
    <row r="33" ht="20.25" customFormat="1" customHeight="1" s="98">
      <c r="A33" s="99" t="n"/>
      <c r="B33" s="96" t="n"/>
      <c r="C33" s="96">
        <f>AVERAGE(D33:O33)</f>
        <v/>
      </c>
      <c r="D33" s="82" t="n"/>
      <c r="E33" s="82" t="n"/>
      <c r="F33" s="82" t="n"/>
      <c r="G33" s="82" t="n"/>
      <c r="H33" s="82" t="n"/>
      <c r="I33" s="82" t="n"/>
      <c r="J33" s="82" t="n"/>
      <c r="K33" s="82" t="n"/>
      <c r="L33" s="82" t="n"/>
      <c r="M33" s="83" t="n"/>
      <c r="N33" s="82" t="n"/>
      <c r="O33" s="85" t="n"/>
    </row>
    <row r="34" ht="20.25" customFormat="1" customHeight="1" s="98">
      <c r="A34" s="99" t="n"/>
      <c r="B34" s="96" t="n"/>
      <c r="C34" s="96">
        <f>AVERAGE(D34:O34)</f>
        <v/>
      </c>
      <c r="D34" s="82" t="n"/>
      <c r="E34" s="82" t="n"/>
      <c r="F34" s="82" t="n"/>
      <c r="G34" s="82" t="n"/>
      <c r="H34" s="82" t="n"/>
      <c r="I34" s="82" t="n"/>
      <c r="J34" s="82" t="n"/>
      <c r="K34" s="82" t="n"/>
      <c r="L34" s="82" t="n"/>
      <c r="M34" s="83" t="n"/>
      <c r="N34" s="82" t="n"/>
      <c r="O34" s="85" t="n"/>
    </row>
    <row r="35" ht="20.25" customFormat="1" customHeight="1" s="98">
      <c r="A35" s="99" t="n"/>
      <c r="B35" s="96" t="n"/>
      <c r="C35" s="96">
        <f>AVERAGE(D35:O35)</f>
        <v/>
      </c>
      <c r="D35" s="82" t="n"/>
      <c r="E35" s="82" t="n"/>
      <c r="F35" s="82" t="n"/>
      <c r="G35" s="82" t="n"/>
      <c r="H35" s="82" t="n"/>
      <c r="I35" s="82" t="n"/>
      <c r="J35" s="82" t="n"/>
      <c r="K35" s="82" t="n"/>
      <c r="L35" s="82" t="n"/>
      <c r="M35" s="83" t="n"/>
      <c r="N35" s="82" t="n"/>
      <c r="O35" s="85" t="n"/>
    </row>
    <row r="36" ht="20.25" customFormat="1" customHeight="1" s="98">
      <c r="A36" s="99" t="n"/>
      <c r="B36" s="96" t="n"/>
      <c r="C36" s="96">
        <f>AVERAGE(D36:O36)</f>
        <v/>
      </c>
      <c r="D36" s="82" t="n"/>
      <c r="E36" s="82" t="n"/>
      <c r="F36" s="82" t="n"/>
      <c r="G36" s="82" t="n"/>
      <c r="H36" s="82" t="n"/>
      <c r="I36" s="82" t="n"/>
      <c r="J36" s="82" t="n"/>
      <c r="K36" s="82" t="n"/>
      <c r="L36" s="82" t="n"/>
      <c r="M36" s="83" t="n"/>
      <c r="N36" s="82" t="n"/>
      <c r="O36" s="85" t="n"/>
    </row>
    <row r="37" ht="20.25" customFormat="1" customHeight="1" s="98">
      <c r="A37" s="99" t="n"/>
      <c r="B37" s="96" t="n"/>
      <c r="C37" s="96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  <c r="M37" s="83" t="n"/>
      <c r="N37" s="82" t="n"/>
      <c r="O37" s="85" t="n"/>
    </row>
    <row r="38" ht="20.25" customFormat="1" customHeight="1" s="28">
      <c r="A38" s="97" t="n"/>
      <c r="B38" s="82" t="n"/>
      <c r="C38" s="82">
        <f>AVERAGE(D38:O38)</f>
        <v/>
      </c>
      <c r="D38" s="82" t="n"/>
      <c r="E38" s="82" t="n"/>
      <c r="F38" s="82" t="n"/>
      <c r="G38" s="82" t="n"/>
      <c r="H38" s="82" t="n"/>
      <c r="I38" s="82" t="n"/>
      <c r="J38" s="82" t="n"/>
      <c r="K38" s="82" t="n"/>
      <c r="L38" s="82" t="n"/>
      <c r="M38" s="83" t="n"/>
      <c r="N38" s="82" t="n"/>
      <c r="O38" s="83" t="n"/>
    </row>
    <row r="39" ht="20.25" customFormat="1" customHeight="1" s="28">
      <c r="A39" s="97" t="n"/>
      <c r="B39" s="82" t="n"/>
      <c r="C39" s="82">
        <f>AVERAGE(D39:O39)</f>
        <v/>
      </c>
      <c r="D39" s="82" t="n"/>
      <c r="E39" s="82" t="n"/>
      <c r="F39" s="82" t="n"/>
      <c r="G39" s="82" t="n"/>
      <c r="H39" s="82" t="n"/>
      <c r="I39" s="82" t="n"/>
      <c r="J39" s="82" t="n"/>
      <c r="K39" s="82" t="n"/>
      <c r="L39" s="82" t="n"/>
      <c r="M39" s="83" t="n"/>
      <c r="N39" s="82" t="n"/>
      <c r="O39" s="85" t="n"/>
    </row>
    <row r="40" ht="20.25" customFormat="1" customHeight="1" s="28">
      <c r="A40" s="97" t="n"/>
      <c r="B40" s="82" t="n"/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  <c r="L40" s="82" t="n"/>
      <c r="M40" s="83" t="n"/>
      <c r="N40" s="82" t="n"/>
      <c r="O40" s="85" t="n"/>
    </row>
    <row r="41" ht="20.25" customFormat="1" customHeight="1" s="28">
      <c r="A41" s="97" t="n"/>
      <c r="B41" s="82" t="n"/>
      <c r="C41" s="82">
        <f>AVERAGE(D41:O41)</f>
        <v/>
      </c>
      <c r="D41" s="82" t="n"/>
      <c r="E41" s="82" t="n"/>
      <c r="F41" s="82" t="n"/>
      <c r="G41" s="82" t="n"/>
      <c r="H41" s="82" t="n"/>
      <c r="I41" s="82" t="n"/>
      <c r="J41" s="82" t="n"/>
      <c r="K41" s="82" t="n"/>
      <c r="L41" s="82" t="n"/>
      <c r="M41" s="83" t="n"/>
      <c r="N41" s="82" t="n"/>
      <c r="O41" s="85" t="n"/>
    </row>
    <row r="42" ht="20.25" customFormat="1" customHeight="1" s="28">
      <c r="A42" s="97" t="n"/>
      <c r="B42" s="82" t="n"/>
      <c r="C42" s="82">
        <f>AVERAGE(D42:O42)</f>
        <v/>
      </c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  <c r="M42" s="83" t="n"/>
      <c r="N42" s="82" t="n"/>
      <c r="O42" s="85" t="n"/>
    </row>
    <row r="43" ht="20.25" customFormat="1" customHeight="1" s="28">
      <c r="A43" s="97" t="n"/>
      <c r="B43" s="82" t="n"/>
      <c r="C43" s="82">
        <f>AVERAGE(D43:O43)</f>
        <v/>
      </c>
      <c r="D43" s="82" t="n"/>
      <c r="E43" s="82" t="n"/>
      <c r="F43" s="82" t="n"/>
      <c r="G43" s="82" t="n"/>
      <c r="H43" s="82" t="n"/>
      <c r="I43" s="82" t="n"/>
      <c r="J43" s="82" t="n"/>
      <c r="K43" s="82" t="n"/>
      <c r="L43" s="82" t="n"/>
      <c r="M43" s="83" t="n"/>
      <c r="N43" s="82" t="n"/>
      <c r="O43" s="85" t="n"/>
    </row>
    <row r="44" ht="20.25" customFormat="1" customHeight="1" s="28">
      <c r="A44" s="97" t="n"/>
      <c r="B44" s="82" t="n"/>
      <c r="C44" s="82">
        <f>AVERAGE(D44:O44)</f>
        <v/>
      </c>
      <c r="D44" s="82" t="n"/>
      <c r="E44" s="82" t="n"/>
      <c r="F44" s="82" t="n"/>
      <c r="G44" s="82" t="n"/>
      <c r="H44" s="82" t="n"/>
      <c r="I44" s="82" t="n"/>
      <c r="J44" s="82" t="n"/>
      <c r="K44" s="82" t="n"/>
      <c r="L44" s="82" t="n"/>
      <c r="M44" s="83" t="n"/>
      <c r="N44" s="82" t="n"/>
      <c r="O44" s="85" t="n"/>
    </row>
    <row r="45" ht="20.25" customFormat="1" customHeight="1" s="28">
      <c r="A45" s="81" t="n"/>
      <c r="B45" s="82" t="n"/>
      <c r="C45" s="82" t="n"/>
      <c r="D45" s="82" t="n"/>
      <c r="E45" s="82" t="n"/>
      <c r="F45" s="82" t="n"/>
      <c r="G45" s="96" t="n"/>
      <c r="H45" s="82" t="n"/>
      <c r="I45" s="82" t="n"/>
      <c r="J45" s="82" t="n"/>
      <c r="K45" s="82" t="n"/>
      <c r="L45" s="82" t="n"/>
      <c r="M45" s="83" t="n"/>
      <c r="N45" s="82" t="n"/>
      <c r="O45" s="85" t="n"/>
    </row>
    <row r="46" ht="20.25" customFormat="1" customHeight="1" s="28">
      <c r="A46" s="81" t="n"/>
      <c r="B46" s="82" t="n"/>
      <c r="C46" s="82">
        <f>C24+C25</f>
        <v/>
      </c>
      <c r="D46" s="82">
        <f>D24+D25</f>
        <v/>
      </c>
      <c r="E46" s="82">
        <f>E24+E25</f>
        <v/>
      </c>
      <c r="F46" s="82" t="n"/>
      <c r="G46" s="82" t="n"/>
      <c r="H46" s="82" t="n"/>
      <c r="I46" s="82" t="n"/>
      <c r="J46" s="82" t="n"/>
      <c r="K46" s="82" t="n"/>
      <c r="L46" s="82" t="n"/>
      <c r="M46" s="82" t="n"/>
      <c r="N46" s="82" t="n"/>
      <c r="O46" s="82" t="n"/>
    </row>
    <row r="47" hidden="1" ht="20.25" customFormat="1" customHeight="1" s="28">
      <c r="A47" s="81" t="n"/>
      <c r="B47" s="82" t="n"/>
      <c r="C47" s="82" t="n"/>
      <c r="D47" s="82" t="n"/>
      <c r="E47" s="82" t="n"/>
      <c r="F47" s="82" t="n"/>
      <c r="G47" s="82" t="n"/>
      <c r="H47" s="82" t="n"/>
      <c r="I47" s="82" t="n"/>
      <c r="J47" s="82" t="n"/>
      <c r="K47" s="82" t="n"/>
      <c r="L47" s="82" t="n"/>
      <c r="M47" s="82" t="n"/>
      <c r="N47" s="82" t="n"/>
      <c r="O47" s="82" t="n"/>
    </row>
    <row r="48" ht="20.25" customFormat="1" customHeight="1" s="28">
      <c r="A48" s="81" t="n"/>
      <c r="B48" s="82" t="n"/>
      <c r="C48" s="82">
        <f>C30</f>
        <v/>
      </c>
      <c r="D48" s="82">
        <f>D30</f>
        <v/>
      </c>
      <c r="E48" s="82">
        <f>E30</f>
        <v/>
      </c>
      <c r="F48" s="82" t="n"/>
      <c r="G48" s="82" t="n"/>
      <c r="H48" s="82" t="n"/>
      <c r="I48" s="82" t="n"/>
      <c r="J48" s="82" t="n"/>
      <c r="K48" s="82" t="n"/>
      <c r="L48" s="82" t="n"/>
      <c r="M48" s="82" t="n"/>
      <c r="N48" s="82" t="n"/>
      <c r="O48" s="82" t="n"/>
      <c r="P48" s="100" t="n"/>
    </row>
    <row r="49" hidden="1" ht="20.25" customFormat="1" customHeight="1" s="28">
      <c r="A49" s="90" t="n"/>
      <c r="B49" s="92" t="n"/>
      <c r="C49" s="92">
        <f>C46+C47-C48</f>
        <v/>
      </c>
      <c r="D49" s="92" t="n"/>
      <c r="E49" s="92" t="n"/>
      <c r="F49" s="92" t="n"/>
      <c r="G49" s="92" t="n"/>
      <c r="H49" s="92" t="n"/>
      <c r="I49" s="92" t="n"/>
      <c r="J49" s="92" t="n"/>
      <c r="K49" s="92" t="n"/>
      <c r="L49" s="92" t="n"/>
      <c r="M49" s="92" t="n"/>
      <c r="N49" s="92" t="n"/>
      <c r="O49" s="92" t="n"/>
    </row>
    <row r="50" ht="20.25" customFormat="1" customHeight="1" s="28">
      <c r="A50" s="86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  <c r="K50" s="82" t="n"/>
      <c r="L50" s="82" t="n"/>
      <c r="M50" s="83" t="n"/>
      <c r="N50" s="82" t="n"/>
      <c r="O50" s="85" t="n"/>
    </row>
    <row r="51" hidden="1" ht="20.25" customFormat="1" customHeight="1" s="28">
      <c r="A51" s="60" t="n"/>
      <c r="B51" s="87" t="n"/>
      <c r="C51" s="87" t="n"/>
      <c r="D51" s="87" t="n"/>
      <c r="E51" s="87" t="n"/>
      <c r="F51" s="82" t="n"/>
      <c r="G51" s="82" t="n"/>
      <c r="H51" s="82" t="n"/>
      <c r="I51" s="82" t="n"/>
      <c r="J51" s="82" t="n"/>
      <c r="K51" s="82" t="n"/>
      <c r="L51" s="82" t="n"/>
      <c r="M51" s="83" t="n"/>
      <c r="N51" s="82" t="n"/>
      <c r="O51" s="85" t="n"/>
    </row>
    <row r="52" hidden="1" ht="20.25" customFormat="1" customHeight="1" s="28">
      <c r="A52" s="61" t="n"/>
      <c r="B52" s="96" t="n"/>
      <c r="C52" s="96">
        <f>C24+C25</f>
        <v/>
      </c>
      <c r="D52" s="96" t="n"/>
      <c r="E52" s="96" t="n"/>
      <c r="F52" s="82" t="n"/>
      <c r="G52" s="82" t="n"/>
      <c r="H52" s="82" t="n"/>
      <c r="I52" s="82" t="n"/>
      <c r="J52" s="82" t="n"/>
      <c r="K52" s="82" t="n"/>
      <c r="L52" s="82" t="n"/>
      <c r="M52" s="83" t="n"/>
      <c r="N52" s="82" t="n"/>
      <c r="O52" s="85" t="n"/>
    </row>
    <row r="53" hidden="1" ht="20.25" customFormat="1" customHeight="1" s="28">
      <c r="A53" s="61" t="n"/>
      <c r="B53" s="96" t="n"/>
      <c r="C53" s="96" t="n"/>
      <c r="D53" s="96" t="n"/>
      <c r="E53" s="96" t="n"/>
      <c r="F53" s="82" t="n"/>
      <c r="G53" s="82" t="n"/>
      <c r="H53" s="82" t="n"/>
      <c r="I53" s="82" t="n"/>
      <c r="J53" s="82" t="n"/>
      <c r="K53" s="82" t="n"/>
      <c r="L53" s="82" t="n"/>
      <c r="M53" s="83" t="n"/>
      <c r="N53" s="82" t="n"/>
      <c r="O53" s="85" t="n"/>
    </row>
    <row r="54" hidden="1" ht="20.25" customFormat="1" customHeight="1" s="28">
      <c r="A54" s="61" t="n"/>
      <c r="B54" s="96" t="n"/>
      <c r="C54" s="96">
        <f>C30</f>
        <v/>
      </c>
      <c r="D54" s="96" t="n"/>
      <c r="E54" s="96" t="n"/>
      <c r="F54" s="82" t="n"/>
      <c r="G54" s="82" t="n"/>
      <c r="H54" s="82" t="n"/>
      <c r="I54" s="82" t="n"/>
      <c r="J54" s="82" t="n"/>
      <c r="K54" s="82" t="n"/>
      <c r="L54" s="82" t="n"/>
      <c r="M54" s="83" t="n"/>
      <c r="N54" s="82" t="n"/>
      <c r="O54" s="85" t="n"/>
    </row>
    <row r="55" hidden="1" ht="20.25" customFormat="1" customHeight="1" s="28">
      <c r="A55" s="61" t="n"/>
      <c r="B55" s="96" t="n"/>
      <c r="C55" s="96">
        <f>C52+C53-C54</f>
        <v/>
      </c>
      <c r="D55" s="96" t="n"/>
      <c r="E55" s="96" t="n"/>
      <c r="F55" s="82" t="n"/>
      <c r="G55" s="82" t="n"/>
      <c r="H55" s="82" t="n"/>
      <c r="I55" s="82" t="n"/>
      <c r="J55" s="82" t="n"/>
      <c r="K55" s="82" t="n"/>
      <c r="L55" s="82" t="n"/>
      <c r="M55" s="83" t="n"/>
      <c r="N55" s="82" t="n"/>
      <c r="O55" s="85" t="n"/>
    </row>
    <row r="56" hidden="1" ht="20.25" customFormat="1" customHeight="1" s="28">
      <c r="A56" s="90" t="n"/>
      <c r="B56" s="82" t="n"/>
      <c r="C56" s="82">
        <f>AVERAGE(D56:O56)</f>
        <v/>
      </c>
      <c r="D56" s="82" t="n"/>
      <c r="E56" s="82" t="n"/>
      <c r="F56" s="82" t="n"/>
      <c r="G56" s="82" t="n"/>
      <c r="H56" s="82" t="n"/>
      <c r="I56" s="82" t="n"/>
      <c r="J56" s="82" t="n"/>
      <c r="K56" s="82" t="n"/>
      <c r="L56" s="82" t="n"/>
      <c r="M56" s="83" t="n"/>
      <c r="N56" s="82" t="n"/>
      <c r="O56" s="85" t="n"/>
    </row>
    <row r="57" ht="20.25" customFormat="1" customHeight="1" s="28">
      <c r="A57" s="90" t="n"/>
      <c r="B57" s="82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82" t="n"/>
      <c r="L57" s="82" t="n"/>
      <c r="M57" s="83" t="n"/>
      <c r="N57" s="82" t="n"/>
      <c r="O57" s="85" t="n"/>
    </row>
    <row r="58" ht="20.25" customFormat="1" customHeight="1" s="28">
      <c r="A58" s="81" t="n"/>
      <c r="B58" s="82" t="n"/>
      <c r="C58" s="82">
        <f>AVERAGE(D58:O58)</f>
        <v/>
      </c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</row>
    <row r="59" ht="20.25" customFormat="1" customHeight="1" s="28">
      <c r="A59" s="81" t="n"/>
      <c r="B59" s="82" t="n"/>
      <c r="C59" s="82">
        <f>AVERAGE(D59:O59)</f>
        <v/>
      </c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</row>
    <row r="60" ht="20.25" customFormat="1" customHeight="1" s="28">
      <c r="A60" s="81" t="n"/>
      <c r="B60" s="82" t="n"/>
      <c r="C60" s="82">
        <f>AVERAGE(D60:O60)</f>
        <v/>
      </c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62" t="n"/>
      <c r="N60" s="39" t="n"/>
      <c r="O60" s="39" t="n"/>
    </row>
    <row r="61" hidden="1" ht="20.25" customFormat="1" customHeight="1" s="28">
      <c r="A61" s="90" t="n"/>
      <c r="B61" s="82" t="n"/>
      <c r="C61" s="82" t="n"/>
      <c r="D61" s="82" t="n"/>
      <c r="E61" s="82" t="n"/>
      <c r="F61" s="82" t="n"/>
      <c r="G61" s="82" t="n"/>
      <c r="H61" s="82" t="n"/>
      <c r="I61" s="82" t="n"/>
      <c r="J61" s="82" t="n"/>
      <c r="K61" s="82" t="n"/>
      <c r="L61" s="82" t="n"/>
      <c r="M61" s="83" t="n"/>
      <c r="N61" s="82" t="n"/>
      <c r="O61" s="85" t="n"/>
    </row>
    <row r="62" hidden="1" ht="20.25" customFormat="1" customHeight="1" s="28">
      <c r="A62" s="81" t="n"/>
      <c r="B62" s="82" t="n"/>
      <c r="C62" s="82" t="n"/>
      <c r="D62" s="82" t="n"/>
      <c r="E62" s="82" t="n"/>
      <c r="F62" s="82" t="n"/>
      <c r="G62" s="82" t="n"/>
      <c r="H62" s="82" t="n"/>
      <c r="I62" s="82" t="n"/>
      <c r="J62" s="82" t="n"/>
      <c r="K62" s="82" t="n"/>
      <c r="L62" s="82" t="n"/>
      <c r="M62" s="83" t="n"/>
      <c r="N62" s="82" t="n"/>
      <c r="O62" s="85" t="n"/>
    </row>
    <row r="63" hidden="1" ht="20.25" customFormat="1" customHeight="1" s="24">
      <c r="A63" s="86" t="n"/>
      <c r="B63" s="101" t="n"/>
      <c r="C63" s="101" t="n"/>
      <c r="D63" s="101" t="n"/>
      <c r="E63" s="101" t="n"/>
      <c r="F63" s="101" t="n"/>
      <c r="G63" s="101" t="n"/>
      <c r="H63" s="101" t="n"/>
      <c r="I63" s="101" t="n"/>
      <c r="J63" s="101" t="n"/>
      <c r="K63" s="101" t="n"/>
      <c r="L63" s="101" t="n"/>
      <c r="M63" s="102" t="n"/>
      <c r="N63" s="101" t="n"/>
      <c r="O63" s="103" t="n"/>
    </row>
    <row r="64" hidden="1" ht="17.25" customFormat="1" customHeight="1" s="28">
      <c r="A64" s="81" t="n"/>
      <c r="B64" s="82" t="n"/>
      <c r="C64" s="82" t="n"/>
      <c r="D64" s="82" t="n"/>
      <c r="E64" s="82" t="n"/>
      <c r="F64" s="82" t="n"/>
      <c r="G64" s="82" t="n"/>
      <c r="H64" s="82" t="n"/>
      <c r="I64" s="82" t="n"/>
      <c r="J64" s="82" t="n"/>
      <c r="K64" s="82" t="n"/>
      <c r="L64" s="82" t="n"/>
      <c r="M64" s="83" t="n"/>
      <c r="N64" s="82" t="n"/>
      <c r="O64" s="85" t="n"/>
    </row>
    <row r="65" ht="16.5" customFormat="1" customHeight="1" s="28">
      <c r="A65" s="66" t="n"/>
      <c r="B65" s="82" t="n"/>
      <c r="C65" s="82" t="n"/>
      <c r="D65" s="82" t="n"/>
      <c r="E65" s="82" t="n"/>
      <c r="F65" s="82" t="n"/>
      <c r="G65" s="82" t="n"/>
      <c r="H65" s="82" t="n"/>
      <c r="I65" s="82" t="n"/>
      <c r="J65" s="82" t="n"/>
      <c r="K65" s="82" t="n"/>
      <c r="L65" s="82" t="n"/>
      <c r="M65" s="82" t="n"/>
      <c r="N65" s="82" t="n"/>
      <c r="O65" s="82" t="n"/>
    </row>
    <row r="66" ht="16.5" customFormat="1" customHeight="1" s="28">
      <c r="A66" s="67" t="n"/>
      <c r="B66" s="82" t="n"/>
      <c r="C66" s="82" t="n"/>
      <c r="D66" s="82" t="n"/>
      <c r="E66" s="82" t="n"/>
      <c r="F66" s="82" t="n"/>
      <c r="G66" s="82" t="n"/>
      <c r="H66" s="82" t="n"/>
      <c r="I66" s="82" t="n"/>
      <c r="J66" s="104" t="n"/>
      <c r="K66" s="82" t="n"/>
      <c r="L66" s="105" t="n"/>
      <c r="M66" s="82" t="n"/>
      <c r="N66" s="106" t="n"/>
      <c r="O66" s="82" t="n"/>
    </row>
    <row r="67" customFormat="1" s="28">
      <c r="A67" s="81" t="n"/>
      <c r="B67" s="82" t="n"/>
      <c r="C67" s="82" t="n"/>
      <c r="D67" s="82" t="n"/>
      <c r="E67" s="82" t="n"/>
      <c r="F67" s="82" t="n"/>
      <c r="G67" s="82" t="n"/>
      <c r="H67" s="82" t="n"/>
      <c r="I67" s="82" t="n"/>
      <c r="J67" s="82" t="n"/>
      <c r="K67" s="82" t="n"/>
      <c r="L67" s="82" t="n"/>
      <c r="M67" s="82" t="n"/>
      <c r="N67" s="82" t="n"/>
      <c r="O67" s="82" t="n"/>
    </row>
    <row r="68" customFormat="1" s="28">
      <c r="A68" s="81" t="n"/>
      <c r="B68" s="82" t="n"/>
      <c r="C68" s="82" t="n"/>
      <c r="D68" s="82" t="n"/>
      <c r="E68" s="82" t="n"/>
      <c r="F68" s="82" t="n"/>
      <c r="G68" s="82" t="n"/>
      <c r="H68" s="82" t="n"/>
      <c r="I68" s="82" t="n"/>
      <c r="J68" s="82" t="n"/>
      <c r="K68" s="82" t="n"/>
      <c r="L68" s="82" t="n"/>
      <c r="M68" s="82" t="n"/>
      <c r="N68" s="82" t="n"/>
      <c r="O68" s="82" t="n"/>
    </row>
    <row r="69" ht="24.75" customFormat="1" customHeight="1" s="27">
      <c r="A69" s="55" t="n"/>
      <c r="B69" s="96" t="n"/>
      <c r="C69" s="96" t="n"/>
      <c r="D69" s="96" t="n"/>
      <c r="E69" s="96" t="n"/>
      <c r="F69" s="96" t="n"/>
      <c r="G69" s="96" t="n"/>
      <c r="H69" s="96" t="n"/>
      <c r="I69" s="96" t="n"/>
      <c r="J69" s="96" t="n"/>
      <c r="K69" s="96" t="n"/>
      <c r="L69" s="96" t="n"/>
      <c r="M69" s="96" t="n"/>
      <c r="N69" s="96" t="n"/>
      <c r="O69" s="96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  <c r="AA69" s="28" t="n"/>
      <c r="AB69" s="28" t="n"/>
      <c r="AC69" s="28" t="n"/>
      <c r="AD69" s="28" t="n"/>
      <c r="AE69" s="28" t="n"/>
      <c r="AF69" s="28" t="n"/>
      <c r="AG69" s="28" t="n"/>
      <c r="AH69" s="28" t="n"/>
      <c r="AI69" s="28" t="n"/>
      <c r="AJ69" s="28" t="n"/>
      <c r="AK69" s="28" t="n"/>
      <c r="AL69" s="28" t="n"/>
      <c r="AM69" s="28" t="n"/>
      <c r="AN69" s="28" t="n"/>
      <c r="AO69" s="28" t="n"/>
      <c r="AP69" s="28" t="n"/>
      <c r="AQ69" s="28" t="n"/>
      <c r="AR69" s="28" t="n"/>
      <c r="AS69" s="28" t="n"/>
      <c r="AT69" s="28" t="n"/>
      <c r="AU69" s="28" t="n"/>
      <c r="AV69" s="28" t="n"/>
      <c r="AW69" s="28" t="n"/>
      <c r="AX69" s="28" t="n"/>
      <c r="AY69" s="28" t="n"/>
      <c r="AZ69" s="28" t="n"/>
      <c r="BA69" s="28" t="n"/>
      <c r="BB69" s="28" t="n"/>
      <c r="BC69" s="28" t="n"/>
      <c r="BD69" s="28" t="n"/>
      <c r="BE69" s="28" t="n"/>
      <c r="BF69" s="28" t="n"/>
      <c r="BG69" s="28" t="n"/>
      <c r="BH69" s="28" t="n"/>
      <c r="BI69" s="28" t="n"/>
      <c r="BJ69" s="28" t="n"/>
      <c r="BK69" s="28" t="n"/>
      <c r="BL69" s="28" t="n"/>
      <c r="BM69" s="28" t="n"/>
      <c r="BN69" s="28" t="n"/>
      <c r="BO69" s="28" t="n"/>
      <c r="BP69" s="28" t="n"/>
      <c r="BQ69" s="28" t="n"/>
      <c r="BR69" s="28" t="n"/>
      <c r="BS69" s="28" t="n"/>
      <c r="BT69" s="28" t="n"/>
      <c r="BU69" s="28" t="n"/>
      <c r="BV69" s="28" t="n"/>
      <c r="BW69" s="28" t="n"/>
      <c r="BX69" s="28" t="n"/>
      <c r="BY69" s="28" t="n"/>
      <c r="BZ69" s="28" t="n"/>
      <c r="CA69" s="28" t="n"/>
      <c r="CB69" s="28" t="n"/>
      <c r="CC69" s="28" t="n"/>
      <c r="CD69" s="28" t="n"/>
      <c r="CE69" s="28" t="n"/>
      <c r="CF69" s="28" t="n"/>
      <c r="CG69" s="28" t="n"/>
      <c r="CH69" s="28" t="n"/>
      <c r="CI69" s="28" t="n"/>
      <c r="CJ69" s="28" t="n"/>
      <c r="CK69" s="28" t="n"/>
      <c r="CL69" s="28" t="n"/>
      <c r="CM69" s="28" t="n"/>
      <c r="CN69" s="28" t="n"/>
      <c r="CO69" s="28" t="n"/>
      <c r="CP69" s="28" t="n"/>
      <c r="CQ69" s="28" t="n"/>
      <c r="CR69" s="28" t="n"/>
      <c r="CS69" s="28" t="n"/>
      <c r="CT69" s="28" t="n"/>
      <c r="CU69" s="28" t="n"/>
      <c r="CV69" s="28" t="n"/>
      <c r="CW69" s="28" t="n"/>
      <c r="CX69" s="28" t="n"/>
      <c r="CY69" s="28" t="n"/>
      <c r="CZ69" s="28" t="n"/>
      <c r="DA69" s="28" t="n"/>
      <c r="DB69" s="28" t="n"/>
      <c r="DC69" s="28" t="n"/>
      <c r="DD69" s="28" t="n"/>
      <c r="DE69" s="28" t="n"/>
      <c r="DF69" s="28" t="n"/>
      <c r="DG69" s="28" t="n"/>
      <c r="DH69" s="28" t="n"/>
      <c r="DI69" s="28" t="n"/>
      <c r="DJ69" s="28" t="n"/>
      <c r="DK69" s="28" t="n"/>
      <c r="DL69" s="28" t="n"/>
      <c r="DM69" s="28" t="n"/>
      <c r="DN69" s="28" t="n"/>
      <c r="DO69" s="28" t="n"/>
      <c r="DP69" s="28" t="n"/>
      <c r="DQ69" s="28" t="n"/>
      <c r="DR69" s="28" t="n"/>
      <c r="DS69" s="28" t="n"/>
      <c r="DT69" s="28" t="n"/>
      <c r="DU69" s="28" t="n"/>
      <c r="DV69" s="28" t="n"/>
      <c r="DW69" s="28" t="n"/>
      <c r="DX69" s="28" t="n"/>
      <c r="DY69" s="28" t="n"/>
      <c r="DZ69" s="28" t="n"/>
      <c r="EA69" s="28" t="n"/>
      <c r="EB69" s="28" t="n"/>
      <c r="EC69" s="28" t="n"/>
      <c r="ED69" s="28" t="n"/>
      <c r="EE69" s="28" t="n"/>
      <c r="EF69" s="28" t="n"/>
      <c r="EG69" s="28" t="n"/>
      <c r="EH69" s="28" t="n"/>
      <c r="EI69" s="28" t="n"/>
      <c r="EJ69" s="28" t="n"/>
      <c r="EK69" s="28" t="n"/>
      <c r="EL69" s="28" t="n"/>
      <c r="EM69" s="28" t="n"/>
      <c r="EN69" s="28" t="n"/>
      <c r="EO69" s="28" t="n"/>
      <c r="EP69" s="28" t="n"/>
      <c r="EQ69" s="28" t="n"/>
      <c r="ER69" s="28" t="n"/>
      <c r="ES69" s="28" t="n"/>
      <c r="ET69" s="28" t="n"/>
      <c r="EU69" s="28" t="n"/>
      <c r="EV69" s="28" t="n"/>
      <c r="EW69" s="28" t="n"/>
      <c r="EX69" s="28" t="n"/>
      <c r="EY69" s="28" t="n"/>
      <c r="EZ69" s="28" t="n"/>
      <c r="FA69" s="28" t="n"/>
      <c r="FB69" s="28" t="n"/>
      <c r="FC69" s="28" t="n"/>
      <c r="FD69" s="28" t="n"/>
      <c r="FE69" s="28" t="n"/>
      <c r="FF69" s="28" t="n"/>
      <c r="FG69" s="28" t="n"/>
      <c r="FH69" s="28" t="n"/>
      <c r="FI69" s="28" t="n"/>
      <c r="FJ69" s="28" t="n"/>
      <c r="FK69" s="28" t="n"/>
      <c r="FL69" s="28" t="n"/>
      <c r="FM69" s="28" t="n"/>
      <c r="FN69" s="28" t="n"/>
      <c r="FO69" s="28" t="n"/>
      <c r="FP69" s="28" t="n"/>
      <c r="FQ69" s="28" t="n"/>
      <c r="FR69" s="28" t="n"/>
      <c r="FS69" s="28" t="n"/>
      <c r="FT69" s="28" t="n"/>
      <c r="FU69" s="28" t="n"/>
      <c r="FV69" s="28" t="n"/>
      <c r="FW69" s="28" t="n"/>
      <c r="FX69" s="28" t="n"/>
      <c r="FY69" s="28" t="n"/>
      <c r="FZ69" s="28" t="n"/>
      <c r="GA69" s="28" t="n"/>
      <c r="GB69" s="28" t="n"/>
      <c r="GC69" s="28" t="n"/>
      <c r="GD69" s="28" t="n"/>
      <c r="GE69" s="28" t="n"/>
      <c r="GF69" s="28" t="n"/>
      <c r="GG69" s="28" t="n"/>
      <c r="GH69" s="28" t="n"/>
      <c r="GI69" s="28" t="n"/>
      <c r="GJ69" s="28" t="n"/>
      <c r="GK69" s="28" t="n"/>
      <c r="GL69" s="28" t="n"/>
      <c r="GM69" s="28" t="n"/>
      <c r="GN69" s="28" t="n"/>
      <c r="GO69" s="28" t="n"/>
      <c r="GP69" s="28" t="n"/>
      <c r="GQ69" s="28" t="n"/>
      <c r="GR69" s="28" t="n"/>
      <c r="GS69" s="28" t="n"/>
      <c r="GT69" s="28" t="n"/>
      <c r="GU69" s="28" t="n"/>
      <c r="GV69" s="28" t="n"/>
      <c r="GW69" s="28" t="n"/>
      <c r="GX69" s="28" t="n"/>
      <c r="GY69" s="28" t="n"/>
      <c r="GZ69" s="28" t="n"/>
      <c r="HA69" s="28" t="n"/>
      <c r="HB69" s="28" t="n"/>
      <c r="HC69" s="28" t="n"/>
      <c r="HD69" s="28" t="n"/>
      <c r="HE69" s="28" t="n"/>
      <c r="HF69" s="28" t="n"/>
      <c r="HG69" s="28" t="n"/>
      <c r="HH69" s="28" t="n"/>
      <c r="HI69" s="28" t="n"/>
      <c r="HJ69" s="28" t="n"/>
      <c r="HK69" s="28" t="n"/>
      <c r="HL69" s="28" t="n"/>
      <c r="HM69" s="28" t="n"/>
      <c r="HN69" s="28" t="n"/>
      <c r="HO69" s="28" t="n"/>
      <c r="HP69" s="28" t="n"/>
      <c r="HQ69" s="28" t="n"/>
      <c r="HR69" s="28" t="n"/>
      <c r="HS69" s="28" t="n"/>
      <c r="HT69" s="28" t="n"/>
      <c r="HU69" s="28" t="n"/>
      <c r="HV69" s="28" t="n"/>
      <c r="HW69" s="28" t="n"/>
      <c r="HX69" s="28" t="n"/>
      <c r="HY69" s="28" t="n"/>
      <c r="HZ69" s="28" t="n"/>
      <c r="IA69" s="28" t="n"/>
      <c r="IB69" s="28" t="n"/>
      <c r="IC69" s="28" t="n"/>
      <c r="ID69" s="28" t="n"/>
      <c r="IE69" s="28" t="n"/>
      <c r="IF69" s="28" t="n"/>
      <c r="IG69" s="28" t="n"/>
      <c r="IH69" s="28" t="n"/>
      <c r="II69" s="28" t="n"/>
      <c r="IJ69" s="28" t="n"/>
      <c r="IK69" s="28" t="n"/>
      <c r="IL69" s="28" t="n"/>
      <c r="IM69" s="28" t="n"/>
      <c r="IN69" s="28" t="n"/>
      <c r="IO69" s="28" t="n"/>
      <c r="IP69" s="28" t="n"/>
      <c r="IQ69" s="28" t="n"/>
      <c r="IR69" s="28" t="n"/>
      <c r="IS69" s="28" t="n"/>
      <c r="IT69" s="28" t="n"/>
      <c r="IU69" s="28" t="n"/>
      <c r="IV69" s="28" t="n"/>
    </row>
    <row r="70" ht="66" customFormat="1" customHeight="1" s="27">
      <c r="A70" s="72" t="n"/>
      <c r="B70" s="107" t="n"/>
      <c r="C70" s="107" t="n"/>
      <c r="D70" s="74" t="n"/>
      <c r="E70" s="74" t="n"/>
      <c r="F70" s="75" t="n"/>
      <c r="G70" s="108" t="n"/>
      <c r="H70" s="108" t="n"/>
      <c r="I70" s="108" t="n"/>
      <c r="J70" s="108" t="n"/>
      <c r="K70" s="108" t="n"/>
      <c r="L70" s="108" t="n"/>
      <c r="M70" s="108" t="n"/>
      <c r="N70" s="108" t="n"/>
      <c r="O70" s="108" t="n"/>
    </row>
    <row r="71" ht="55" customFormat="1" customHeight="1" s="27">
      <c r="A71" s="72" t="n"/>
      <c r="B71" s="107" t="n"/>
      <c r="C71" s="107" t="n"/>
      <c r="D71" s="74" t="n"/>
      <c r="E71" s="74" t="n"/>
      <c r="F71" s="75" t="n"/>
      <c r="G71" s="108" t="n"/>
      <c r="H71" s="108" t="n"/>
      <c r="I71" s="108" t="n"/>
      <c r="J71" s="108" t="n"/>
      <c r="K71" s="108" t="n"/>
      <c r="L71" s="108" t="n"/>
      <c r="M71" s="108" t="n"/>
      <c r="N71" s="108" t="n"/>
      <c r="O71" s="108" t="n"/>
    </row>
    <row r="72" ht="24.75" customFormat="1" customHeight="1" s="27">
      <c r="A72" s="72" t="n"/>
      <c r="B72" s="107" t="n"/>
      <c r="C72" s="107" t="n"/>
      <c r="D72" s="74" t="n"/>
      <c r="E72" s="74" t="n"/>
      <c r="F72" s="74" t="n"/>
      <c r="G72" s="74" t="n"/>
      <c r="H72" s="74" t="n"/>
      <c r="I72" s="74" t="n"/>
      <c r="J72" s="74" t="n"/>
      <c r="K72" s="74" t="n"/>
      <c r="L72" s="74" t="n"/>
      <c r="M72" s="74" t="n"/>
      <c r="N72" s="74" t="n"/>
      <c r="O72" s="75" t="n"/>
    </row>
    <row r="73" ht="24.75" customFormat="1" customHeight="1" s="27">
      <c r="A73" s="72" t="n"/>
      <c r="B73" s="107" t="n"/>
      <c r="C73" s="107" t="n"/>
      <c r="D73" s="74" t="n"/>
      <c r="E73" s="74" t="n"/>
      <c r="F73" s="74" t="n"/>
      <c r="G73" s="74" t="n"/>
      <c r="H73" s="74" t="n"/>
      <c r="I73" s="74" t="n"/>
      <c r="J73" s="74" t="n"/>
      <c r="K73" s="74" t="n"/>
      <c r="L73" s="74" t="n"/>
      <c r="M73" s="74" t="n"/>
      <c r="N73" s="74" t="n"/>
      <c r="O73" s="75" t="n"/>
    </row>
    <row r="74" ht="48" customFormat="1" customHeight="1" s="27">
      <c r="A74" s="72" t="n"/>
      <c r="B74" s="107" t="n"/>
      <c r="C74" s="107" t="n"/>
      <c r="D74" s="74" t="n"/>
      <c r="E74" s="74" t="n"/>
      <c r="F74" s="74" t="n"/>
      <c r="G74" s="74" t="n"/>
      <c r="H74" s="74" t="n"/>
      <c r="I74" s="74" t="n"/>
      <c r="J74" s="74" t="n"/>
      <c r="K74" s="74" t="n"/>
      <c r="L74" s="74" t="n"/>
      <c r="M74" s="74" t="n"/>
      <c r="N74" s="74" t="n"/>
      <c r="O74" s="77" t="n"/>
    </row>
    <row r="75" ht="44" customFormat="1" customHeight="1" s="28">
      <c r="A75" s="72" t="n"/>
      <c r="B75" s="107" t="n"/>
      <c r="C75" s="107" t="n"/>
      <c r="D75" s="78" t="n"/>
      <c r="E75" s="78" t="n"/>
      <c r="F75" s="78" t="n"/>
      <c r="G75" s="78" t="n"/>
      <c r="H75" s="78" t="n"/>
      <c r="I75" s="78" t="n"/>
      <c r="J75" s="78" t="n"/>
      <c r="K75" s="78" t="n"/>
      <c r="L75" s="78" t="n"/>
      <c r="M75" s="78" t="n"/>
      <c r="N75" s="78" t="n"/>
      <c r="O75" s="7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7" t="n"/>
      <c r="AK75" s="27" t="n"/>
      <c r="AL75" s="27" t="n"/>
      <c r="AM75" s="27" t="n"/>
      <c r="AN75" s="27" t="n"/>
      <c r="AO75" s="27" t="n"/>
      <c r="AP75" s="27" t="n"/>
      <c r="AQ75" s="27" t="n"/>
      <c r="AR75" s="27" t="n"/>
      <c r="AS75" s="27" t="n"/>
      <c r="AT75" s="27" t="n"/>
      <c r="AU75" s="27" t="n"/>
      <c r="AV75" s="27" t="n"/>
      <c r="AW75" s="27" t="n"/>
      <c r="AX75" s="27" t="n"/>
      <c r="AY75" s="27" t="n"/>
      <c r="AZ75" s="27" t="n"/>
      <c r="BA75" s="27" t="n"/>
      <c r="BB75" s="27" t="n"/>
      <c r="BC75" s="27" t="n"/>
      <c r="BD75" s="27" t="n"/>
      <c r="BE75" s="27" t="n"/>
      <c r="BF75" s="27" t="n"/>
      <c r="BG75" s="27" t="n"/>
      <c r="BH75" s="27" t="n"/>
      <c r="BI75" s="27" t="n"/>
      <c r="BJ75" s="27" t="n"/>
      <c r="BK75" s="27" t="n"/>
      <c r="BL75" s="27" t="n"/>
      <c r="BM75" s="27" t="n"/>
      <c r="BN75" s="27" t="n"/>
      <c r="BO75" s="27" t="n"/>
      <c r="BP75" s="27" t="n"/>
      <c r="BQ75" s="27" t="n"/>
      <c r="BR75" s="27" t="n"/>
      <c r="BS75" s="27" t="n"/>
      <c r="BT75" s="27" t="n"/>
      <c r="BU75" s="27" t="n"/>
      <c r="BV75" s="27" t="n"/>
      <c r="BW75" s="27" t="n"/>
      <c r="BX75" s="27" t="n"/>
      <c r="BY75" s="27" t="n"/>
      <c r="BZ75" s="27" t="n"/>
      <c r="CA75" s="27" t="n"/>
      <c r="CB75" s="27" t="n"/>
      <c r="CC75" s="27" t="n"/>
      <c r="CD75" s="27" t="n"/>
      <c r="CE75" s="27" t="n"/>
      <c r="CF75" s="27" t="n"/>
      <c r="CG75" s="27" t="n"/>
      <c r="CH75" s="27" t="n"/>
      <c r="CI75" s="27" t="n"/>
      <c r="CJ75" s="27" t="n"/>
      <c r="CK75" s="27" t="n"/>
      <c r="CL75" s="27" t="n"/>
      <c r="CM75" s="27" t="n"/>
      <c r="CN75" s="27" t="n"/>
      <c r="CO75" s="27" t="n"/>
      <c r="CP75" s="27" t="n"/>
      <c r="CQ75" s="27" t="n"/>
      <c r="CR75" s="27" t="n"/>
      <c r="CS75" s="27" t="n"/>
      <c r="CT75" s="27" t="n"/>
      <c r="CU75" s="27" t="n"/>
      <c r="CV75" s="27" t="n"/>
      <c r="CW75" s="27" t="n"/>
      <c r="CX75" s="27" t="n"/>
      <c r="CY75" s="27" t="n"/>
      <c r="CZ75" s="27" t="n"/>
      <c r="DA75" s="27" t="n"/>
      <c r="DB75" s="27" t="n"/>
      <c r="DC75" s="27" t="n"/>
      <c r="DD75" s="27" t="n"/>
      <c r="DE75" s="27" t="n"/>
      <c r="DF75" s="27" t="n"/>
      <c r="DG75" s="27" t="n"/>
      <c r="DH75" s="27" t="n"/>
      <c r="DI75" s="27" t="n"/>
      <c r="DJ75" s="27" t="n"/>
      <c r="DK75" s="27" t="n"/>
      <c r="DL75" s="27" t="n"/>
      <c r="DM75" s="27" t="n"/>
      <c r="DN75" s="27" t="n"/>
      <c r="DO75" s="27" t="n"/>
      <c r="DP75" s="27" t="n"/>
      <c r="DQ75" s="27" t="n"/>
      <c r="DR75" s="27" t="n"/>
      <c r="DS75" s="27" t="n"/>
      <c r="DT75" s="27" t="n"/>
      <c r="DU75" s="27" t="n"/>
      <c r="DV75" s="27" t="n"/>
      <c r="DW75" s="27" t="n"/>
      <c r="DX75" s="27" t="n"/>
      <c r="DY75" s="27" t="n"/>
      <c r="DZ75" s="27" t="n"/>
      <c r="EA75" s="27" t="n"/>
      <c r="EB75" s="27" t="n"/>
      <c r="EC75" s="27" t="n"/>
      <c r="ED75" s="27" t="n"/>
      <c r="EE75" s="27" t="n"/>
      <c r="EF75" s="27" t="n"/>
      <c r="EG75" s="27" t="n"/>
      <c r="EH75" s="27" t="n"/>
      <c r="EI75" s="27" t="n"/>
      <c r="EJ75" s="27" t="n"/>
      <c r="EK75" s="27" t="n"/>
      <c r="EL75" s="27" t="n"/>
      <c r="EM75" s="27" t="n"/>
      <c r="EN75" s="27" t="n"/>
      <c r="EO75" s="27" t="n"/>
      <c r="EP75" s="27" t="n"/>
      <c r="EQ75" s="27" t="n"/>
      <c r="ER75" s="27" t="n"/>
      <c r="ES75" s="27" t="n"/>
      <c r="ET75" s="27" t="n"/>
      <c r="EU75" s="27" t="n"/>
      <c r="EV75" s="27" t="n"/>
      <c r="EW75" s="27" t="n"/>
      <c r="EX75" s="27" t="n"/>
      <c r="EY75" s="27" t="n"/>
      <c r="EZ75" s="27" t="n"/>
      <c r="FA75" s="27" t="n"/>
      <c r="FB75" s="27" t="n"/>
      <c r="FC75" s="27" t="n"/>
      <c r="FD75" s="27" t="n"/>
      <c r="FE75" s="27" t="n"/>
      <c r="FF75" s="27" t="n"/>
      <c r="FG75" s="27" t="n"/>
      <c r="FH75" s="27" t="n"/>
      <c r="FI75" s="27" t="n"/>
      <c r="FJ75" s="27" t="n"/>
      <c r="FK75" s="27" t="n"/>
      <c r="FL75" s="27" t="n"/>
      <c r="FM75" s="27" t="n"/>
      <c r="FN75" s="27" t="n"/>
      <c r="FO75" s="27" t="n"/>
      <c r="FP75" s="27" t="n"/>
      <c r="FQ75" s="27" t="n"/>
      <c r="FR75" s="27" t="n"/>
      <c r="FS75" s="27" t="n"/>
      <c r="FT75" s="27" t="n"/>
      <c r="FU75" s="27" t="n"/>
      <c r="FV75" s="27" t="n"/>
      <c r="FW75" s="27" t="n"/>
      <c r="FX75" s="27" t="n"/>
      <c r="FY75" s="27" t="n"/>
      <c r="FZ75" s="27" t="n"/>
      <c r="GA75" s="27" t="n"/>
      <c r="GB75" s="27" t="n"/>
      <c r="GC75" s="27" t="n"/>
      <c r="GD75" s="27" t="n"/>
      <c r="GE75" s="27" t="n"/>
      <c r="GF75" s="27" t="n"/>
      <c r="GG75" s="27" t="n"/>
      <c r="GH75" s="27" t="n"/>
      <c r="GI75" s="27" t="n"/>
      <c r="GJ75" s="27" t="n"/>
      <c r="GK75" s="27" t="n"/>
      <c r="GL75" s="27" t="n"/>
      <c r="GM75" s="27" t="n"/>
      <c r="GN75" s="27" t="n"/>
      <c r="GO75" s="27" t="n"/>
      <c r="GP75" s="27" t="n"/>
      <c r="GQ75" s="27" t="n"/>
      <c r="GR75" s="27" t="n"/>
      <c r="GS75" s="27" t="n"/>
      <c r="GT75" s="27" t="n"/>
      <c r="GU75" s="27" t="n"/>
      <c r="GV75" s="27" t="n"/>
      <c r="GW75" s="27" t="n"/>
      <c r="GX75" s="27" t="n"/>
      <c r="GY75" s="27" t="n"/>
      <c r="GZ75" s="27" t="n"/>
      <c r="HA75" s="27" t="n"/>
      <c r="HB75" s="27" t="n"/>
      <c r="HC75" s="27" t="n"/>
      <c r="HD75" s="27" t="n"/>
      <c r="HE75" s="27" t="n"/>
      <c r="HF75" s="27" t="n"/>
      <c r="HG75" s="27" t="n"/>
      <c r="HH75" s="27" t="n"/>
      <c r="HI75" s="27" t="n"/>
      <c r="HJ75" s="27" t="n"/>
      <c r="HK75" s="27" t="n"/>
      <c r="HL75" s="27" t="n"/>
      <c r="HM75" s="27" t="n"/>
      <c r="HN75" s="27" t="n"/>
      <c r="HO75" s="27" t="n"/>
      <c r="HP75" s="27" t="n"/>
      <c r="HQ75" s="27" t="n"/>
      <c r="HR75" s="27" t="n"/>
      <c r="HS75" s="27" t="n"/>
      <c r="HT75" s="27" t="n"/>
      <c r="HU75" s="27" t="n"/>
      <c r="HV75" s="27" t="n"/>
      <c r="HW75" s="27" t="n"/>
      <c r="HX75" s="27" t="n"/>
      <c r="HY75" s="27" t="n"/>
      <c r="HZ75" s="27" t="n"/>
      <c r="IA75" s="27" t="n"/>
      <c r="IB75" s="27" t="n"/>
      <c r="IC75" s="27" t="n"/>
      <c r="ID75" s="27" t="n"/>
      <c r="IE75" s="27" t="n"/>
      <c r="IF75" s="27" t="n"/>
      <c r="IG75" s="27" t="n"/>
      <c r="IH75" s="27" t="n"/>
      <c r="II75" s="27" t="n"/>
      <c r="IJ75" s="27" t="n"/>
      <c r="IK75" s="27" t="n"/>
      <c r="IL75" s="27" t="n"/>
      <c r="IM75" s="27" t="n"/>
      <c r="IN75" s="27" t="n"/>
      <c r="IO75" s="27" t="n"/>
      <c r="IP75" s="27" t="n"/>
      <c r="IQ75" s="27" t="n"/>
      <c r="IR75" s="27" t="n"/>
      <c r="IS75" s="27" t="n"/>
      <c r="IT75" s="27" t="n"/>
      <c r="IU75" s="27" t="n"/>
      <c r="IV75" s="27" t="n"/>
    </row>
    <row r="76" customFormat="1" s="28">
      <c r="A76" s="81" t="n"/>
      <c r="B76" s="82" t="n"/>
      <c r="C76" s="82" t="n"/>
      <c r="D76" s="82" t="n"/>
      <c r="E76" s="82" t="n"/>
      <c r="F76" s="82" t="n"/>
      <c r="G76" s="82" t="n"/>
      <c r="H76" s="82" t="n"/>
      <c r="I76" s="82" t="n"/>
      <c r="J76" s="82" t="n"/>
      <c r="K76" s="82" t="n"/>
      <c r="L76" s="82" t="n"/>
      <c r="M76" s="82" t="n"/>
      <c r="N76" s="82" t="n"/>
      <c r="O76" s="82" t="n"/>
    </row>
    <row r="77" customFormat="1" s="28">
      <c r="A77" s="81" t="n"/>
      <c r="B77" s="82" t="n"/>
      <c r="C77" s="82" t="n"/>
      <c r="D77" s="82" t="n"/>
      <c r="E77" s="82" t="n"/>
      <c r="F77" s="82" t="n"/>
      <c r="G77" s="82" t="n"/>
      <c r="H77" s="82" t="n"/>
      <c r="I77" s="85" t="n"/>
      <c r="J77" s="82" t="n"/>
      <c r="K77" s="82" t="n"/>
      <c r="L77" s="82" t="n"/>
      <c r="M77" s="82" t="n"/>
      <c r="N77" s="82" t="n"/>
      <c r="O77" s="82" t="n"/>
    </row>
    <row r="78" customFormat="1" s="28">
      <c r="A78" s="81" t="n"/>
      <c r="B78" s="82" t="n"/>
      <c r="C78" s="82" t="n"/>
      <c r="D78" s="82" t="n"/>
      <c r="E78" s="82" t="n"/>
      <c r="F78" s="82" t="n"/>
      <c r="G78" s="82" t="n"/>
      <c r="H78" s="82" t="n"/>
      <c r="I78" s="85" t="n"/>
      <c r="J78" s="82" t="n"/>
      <c r="K78" s="82" t="n"/>
      <c r="L78" s="82" t="n"/>
      <c r="M78" s="82" t="n"/>
      <c r="N78" s="82" t="n"/>
      <c r="O78" s="82" t="n"/>
    </row>
    <row r="79" customFormat="1" s="28">
      <c r="A79" s="90" t="n"/>
      <c r="B79" s="82" t="n"/>
      <c r="C79" s="82" t="n"/>
      <c r="D79" s="82" t="n"/>
      <c r="E79" s="82" t="n"/>
      <c r="F79" s="82" t="n"/>
      <c r="G79" s="82" t="n"/>
      <c r="H79" s="82" t="n"/>
      <c r="I79" s="85" t="n"/>
      <c r="J79" s="82" t="n"/>
      <c r="K79" s="82" t="n"/>
      <c r="L79" s="82" t="n"/>
      <c r="M79" s="82" t="n"/>
      <c r="N79" s="82" t="n"/>
      <c r="O79" s="82" t="n"/>
    </row>
    <row r="80" customFormat="1" s="28">
      <c r="A80" s="90" t="n"/>
      <c r="B80" s="82" t="n"/>
      <c r="C80" s="82" t="n"/>
      <c r="D80" s="82" t="n"/>
      <c r="E80" s="82" t="n"/>
      <c r="F80" s="82" t="n"/>
      <c r="G80" s="82" t="n"/>
      <c r="H80" s="82" t="n"/>
      <c r="I80" s="85" t="n"/>
      <c r="J80" s="82" t="n"/>
      <c r="K80" s="82" t="n"/>
      <c r="L80" s="82" t="n"/>
      <c r="M80" s="82" t="n"/>
      <c r="N80" s="82" t="n"/>
      <c r="O80" s="82" t="n"/>
    </row>
    <row r="81" customFormat="1" s="28">
      <c r="A81" s="81" t="n"/>
      <c r="B81" s="82" t="n"/>
      <c r="C81" s="82" t="n"/>
      <c r="D81" s="82" t="n"/>
      <c r="E81" s="82" t="n"/>
      <c r="F81" s="82" t="n"/>
      <c r="G81" s="82" t="n"/>
      <c r="H81" s="82" t="n"/>
      <c r="I81" s="85" t="n"/>
      <c r="J81" s="82" t="n"/>
      <c r="K81" s="82" t="n"/>
      <c r="L81" s="82" t="n"/>
      <c r="M81" s="82" t="n"/>
      <c r="N81" s="82" t="n"/>
      <c r="O81" s="82" t="n"/>
    </row>
    <row r="82" customFormat="1" s="28">
      <c r="A82" s="81" t="n"/>
      <c r="B82" s="82" t="n"/>
      <c r="C82" s="82" t="n"/>
      <c r="D82" s="82" t="n"/>
      <c r="E82" s="82" t="n"/>
      <c r="F82" s="82" t="n"/>
      <c r="G82" s="82" t="n"/>
      <c r="H82" s="82" t="n"/>
      <c r="I82" s="85" t="n"/>
      <c r="J82" s="82" t="n"/>
      <c r="K82" s="82" t="n"/>
      <c r="L82" s="82" t="n"/>
      <c r="M82" s="82" t="n"/>
      <c r="N82" s="82" t="n"/>
      <c r="O82" s="82" t="n"/>
    </row>
    <row r="83" customFormat="1" s="28">
      <c r="A83" s="81" t="n"/>
      <c r="B83" s="82" t="n"/>
      <c r="C83" s="82" t="n"/>
      <c r="D83" s="82" t="n"/>
      <c r="E83" s="82" t="n"/>
      <c r="F83" s="82" t="n"/>
      <c r="G83" s="82" t="n"/>
      <c r="H83" s="82" t="n"/>
      <c r="I83" s="85" t="n"/>
      <c r="J83" s="82" t="n"/>
      <c r="K83" s="82" t="n"/>
      <c r="L83" s="82" t="n"/>
      <c r="M83" s="82" t="n"/>
      <c r="N83" s="82" t="n"/>
      <c r="O83" s="82" t="n"/>
    </row>
    <row r="84" customFormat="1" s="28">
      <c r="A84" s="81" t="n"/>
      <c r="B84" s="82" t="n"/>
      <c r="C84" s="82" t="n"/>
      <c r="D84" s="82" t="n"/>
      <c r="E84" s="82" t="n"/>
      <c r="F84" s="82" t="n"/>
      <c r="G84" s="82" t="n"/>
      <c r="H84" s="82" t="n"/>
      <c r="I84" s="85" t="n"/>
      <c r="J84" s="82" t="n"/>
      <c r="K84" s="82" t="n"/>
      <c r="L84" s="82" t="n"/>
      <c r="M84" s="82" t="n"/>
      <c r="N84" s="82" t="n"/>
      <c r="O84" s="82" t="n"/>
    </row>
    <row r="85" customFormat="1" s="28">
      <c r="A85" s="81" t="n"/>
      <c r="B85" s="82" t="n"/>
      <c r="C85" s="82" t="n"/>
      <c r="D85" s="82" t="n"/>
      <c r="E85" s="82" t="n"/>
      <c r="F85" s="82" t="n"/>
      <c r="G85" s="82" t="n"/>
      <c r="H85" s="82" t="n"/>
      <c r="I85" s="85" t="n"/>
      <c r="J85" s="82" t="n"/>
      <c r="K85" s="82" t="n"/>
      <c r="L85" s="82" t="n"/>
      <c r="M85" s="82" t="n"/>
      <c r="N85" s="82" t="n"/>
      <c r="O85" s="82" t="n"/>
    </row>
    <row r="86" customFormat="1" s="28">
      <c r="A86" s="79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</row>
    <row r="87" customFormat="1" s="28">
      <c r="A87" s="79" t="n"/>
      <c r="B87" s="39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</row>
    <row r="88" customFormat="1" s="28">
      <c r="A88" s="79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</row>
    <row r="89" customFormat="1" s="28">
      <c r="A89" s="79" t="n"/>
      <c r="B89" s="39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</row>
    <row r="90" customFormat="1" s="28">
      <c r="A90" s="79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</row>
    <row r="91" customFormat="1" s="28">
      <c r="A91" s="79" t="n"/>
      <c r="B91" s="39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</row>
    <row r="92" customFormat="1" s="28">
      <c r="A92" s="79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</row>
    <row r="93" customFormat="1" s="28">
      <c r="A93" s="79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</row>
    <row r="94" customFormat="1" s="28">
      <c r="A94" s="79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</row>
  </sheetData>
  <mergeCells count="7">
    <mergeCell ref="A71:C71"/>
    <mergeCell ref="A75:C75"/>
    <mergeCell ref="A74:C74"/>
    <mergeCell ref="A1:I1"/>
    <mergeCell ref="A70:C70"/>
    <mergeCell ref="A73:C73"/>
    <mergeCell ref="A72:C72"/>
  </mergeCell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:H2"/>
    </sheetView>
  </sheetViews>
  <sheetFormatPr baseColWidth="8" defaultColWidth="9" defaultRowHeight="14" outlineLevelRow="1"/>
  <cols>
    <col width="18" customWidth="1" style="2" min="1" max="8"/>
  </cols>
  <sheetData>
    <row r="1" ht="42" customFormat="1" customHeight="1" s="12">
      <c r="A1" s="18" t="inlineStr">
        <is>
          <t>科室字典</t>
        </is>
      </c>
      <c r="B1" s="109" t="inlineStr">
        <is>
          <t>5分满意度</t>
        </is>
      </c>
      <c r="C1" s="18" t="inlineStr">
        <is>
          <t>满意度排名</t>
        </is>
      </c>
      <c r="D1" s="109" t="inlineStr">
        <is>
          <t>支收比</t>
        </is>
      </c>
      <c r="E1" s="109" t="inlineStr">
        <is>
          <t>支收比增量</t>
        </is>
      </c>
      <c r="F1" s="18" t="inlineStr">
        <is>
          <t>预约效率增量</t>
        </is>
      </c>
      <c r="G1" s="110" t="inlineStr">
        <is>
          <t xml:space="preserve">增量和(上四分位，下四分位)
</t>
        </is>
      </c>
      <c r="H1" s="18" t="inlineStr">
        <is>
          <t>增量排序</t>
        </is>
      </c>
    </row>
    <row r="2">
      <c r="A2" s="18" t="inlineStr">
        <is>
          <t>病理科</t>
        </is>
      </c>
      <c r="B2" s="111" t="n">
        <v>0.904347826086957</v>
      </c>
      <c r="C2" s="18" t="n">
        <v>11</v>
      </c>
      <c r="D2" s="111" t="n">
        <v>0.693777744648393</v>
      </c>
      <c r="E2" s="111" t="n">
        <v>0.0415253981166798</v>
      </c>
      <c r="F2" s="111" t="n"/>
      <c r="G2" s="111" t="n">
        <v>0.0415253981166798</v>
      </c>
      <c r="H2" s="18" t="n">
        <v>9</v>
      </c>
    </row>
  </sheetData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I29" sqref="I29"/>
    </sheetView>
  </sheetViews>
  <sheetFormatPr baseColWidth="8" defaultColWidth="9" defaultRowHeight="14"/>
  <cols>
    <col width="16" customWidth="1" style="2" min="1" max="1"/>
    <col width="28" customWidth="1" style="2" min="2" max="2"/>
    <col width="20" customWidth="1" style="2" min="3" max="4"/>
    <col width="10" customWidth="1" style="2" min="5" max="5"/>
    <col width="12" customWidth="1" style="2" min="6" max="6"/>
    <col width="14" customWidth="1" style="2" min="7" max="9"/>
  </cols>
  <sheetData>
    <row r="1" customFormat="1" s="12">
      <c r="A1" s="13" t="inlineStr">
        <is>
          <t>订单号</t>
        </is>
      </c>
      <c r="B1" s="13" t="inlineStr">
        <is>
          <t>HRP申领单号</t>
        </is>
      </c>
      <c r="C1" s="13" t="inlineStr">
        <is>
          <t>HRP科室下单日期</t>
        </is>
      </c>
      <c r="D1" s="13" t="inlineStr">
        <is>
          <t>供应商</t>
        </is>
      </c>
      <c r="E1" s="13" t="inlineStr">
        <is>
          <t>供应商地点</t>
        </is>
      </c>
      <c r="F1" s="13" t="inlineStr">
        <is>
          <t>科室编码</t>
        </is>
      </c>
      <c r="G1" s="13" t="inlineStr">
        <is>
          <t>申领科室</t>
        </is>
      </c>
      <c r="H1" s="13" t="inlineStr">
        <is>
          <t>是否可收费</t>
        </is>
      </c>
      <c r="I1" s="13" t="inlineStr">
        <is>
          <t>物料编码</t>
        </is>
      </c>
      <c r="J1" s="13" t="inlineStr">
        <is>
          <t>物料类别</t>
        </is>
      </c>
      <c r="K1" s="14" t="inlineStr">
        <is>
          <t>物料说明</t>
        </is>
      </c>
      <c r="L1" s="13" t="inlineStr">
        <is>
          <t>规格</t>
        </is>
      </c>
      <c r="M1" s="13" t="inlineStr">
        <is>
          <t>单位</t>
        </is>
      </c>
      <c r="N1" s="13" t="inlineStr">
        <is>
          <t>订单状态</t>
        </is>
      </c>
      <c r="O1" s="13" t="inlineStr">
        <is>
          <t>订单数量</t>
        </is>
      </c>
      <c r="P1" s="13" t="inlineStr">
        <is>
          <t>单价</t>
        </is>
      </c>
      <c r="Q1" s="13" t="inlineStr">
        <is>
          <t>入库数量</t>
        </is>
      </c>
      <c r="R1" s="13" t="inlineStr">
        <is>
          <t>入库金额</t>
        </is>
      </c>
      <c r="S1" s="13" t="inlineStr">
        <is>
          <t>入库时间</t>
        </is>
      </c>
      <c r="T1" s="15" t="inlineStr">
        <is>
          <t>接收金额</t>
        </is>
      </c>
      <c r="U1" s="15" t="inlineStr">
        <is>
          <t>院区</t>
        </is>
      </c>
      <c r="V1" s="15" t="inlineStr">
        <is>
          <t>科室对应</t>
        </is>
      </c>
    </row>
    <row r="2" ht="17" customHeight="1" s="2">
      <c r="A2" s="13" t="inlineStr">
        <is>
          <t>SL00054697</t>
        </is>
      </c>
      <c r="B2" s="13" t="inlineStr">
        <is>
          <t>DZ2602260020</t>
        </is>
      </c>
      <c r="C2" s="13" t="inlineStr">
        <is>
          <t>2026-02-26</t>
        </is>
      </c>
      <c r="D2" s="13" t="inlineStr">
        <is>
          <t>海安康健（北京）科技有限公司</t>
        </is>
      </c>
      <c r="E2" s="13" t="inlineStr">
        <is>
          <t>低值医材</t>
        </is>
      </c>
      <c r="F2" s="13" t="inlineStr">
        <is>
          <t>203000000</t>
        </is>
      </c>
      <c r="G2" s="13" t="inlineStr">
        <is>
          <t>病理科</t>
        </is>
      </c>
      <c r="H2" s="13" t="inlineStr">
        <is>
          <t>否</t>
        </is>
      </c>
      <c r="I2" s="13" t="inlineStr">
        <is>
          <t>491985</t>
        </is>
      </c>
      <c r="J2" s="13" t="inlineStr">
        <is>
          <t>低值物资.医材</t>
        </is>
      </c>
      <c r="K2" s="13" t="inlineStr">
        <is>
          <t>粘附载玻片</t>
        </is>
      </c>
      <c r="L2" s="13" t="inlineStr">
        <is>
          <t>/188105(50片）</t>
        </is>
      </c>
      <c r="M2" s="13" t="inlineStr">
        <is>
          <t>盒</t>
        </is>
      </c>
      <c r="N2" s="13" t="inlineStr">
        <is>
          <t>接收关闭</t>
        </is>
      </c>
      <c r="O2" s="13" t="inlineStr">
        <is>
          <t>360</t>
        </is>
      </c>
      <c r="P2" s="13" t="inlineStr">
        <is>
          <t>46</t>
        </is>
      </c>
      <c r="Q2" s="13" t="inlineStr">
        <is>
          <t>360</t>
        </is>
      </c>
      <c r="R2" s="16" t="n">
        <v>16560</v>
      </c>
      <c r="S2" s="13" t="inlineStr">
        <is>
          <t>2026-02-27</t>
        </is>
      </c>
      <c r="T2" s="17">
        <f>R2</f>
        <v/>
      </c>
      <c r="U2" s="17" t="inlineStr">
        <is>
          <t>西直门</t>
        </is>
      </c>
      <c r="V2" s="15" t="inlineStr">
        <is>
          <t>病理科</t>
        </is>
      </c>
    </row>
    <row r="3" ht="25.5" customHeight="1" s="2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7">
        <f>R3</f>
        <v/>
      </c>
      <c r="U3" s="17" t="n"/>
      <c r="V3" s="15" t="n"/>
    </row>
    <row r="4" ht="17" customHeight="1" s="2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7">
        <f>R4</f>
        <v/>
      </c>
      <c r="U4" s="17" t="n"/>
      <c r="V4" s="15" t="n"/>
    </row>
    <row r="5" ht="17" customHeight="1" s="2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7">
        <f>R5</f>
        <v/>
      </c>
      <c r="U5" s="17" t="n"/>
      <c r="V5" s="15" t="n"/>
    </row>
    <row r="6" ht="17" customHeight="1" s="2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7">
        <f>R6</f>
        <v/>
      </c>
      <c r="U6" s="17" t="n"/>
      <c r="V6" s="15" t="n"/>
    </row>
    <row r="7" ht="17" customHeight="1" s="2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6" t="n"/>
      <c r="S7" s="13" t="n"/>
      <c r="T7" s="17">
        <f>R7</f>
        <v/>
      </c>
      <c r="U7" s="17" t="n"/>
      <c r="V7" s="15" t="n"/>
    </row>
    <row r="8" ht="17" customHeight="1" s="2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7">
        <f>R8</f>
        <v/>
      </c>
      <c r="U8" s="17" t="n"/>
      <c r="V8" s="15" t="n"/>
    </row>
    <row r="9" ht="17" customHeight="1" s="2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6" t="n"/>
      <c r="S9" s="13" t="n"/>
      <c r="T9" s="17">
        <f>R9</f>
        <v/>
      </c>
      <c r="U9" s="17" t="n"/>
      <c r="V9" s="15" t="n"/>
    </row>
    <row r="10" ht="17" customHeight="1" s="2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6" t="n"/>
      <c r="S10" s="13" t="n"/>
      <c r="T10" s="17">
        <f>R10</f>
        <v/>
      </c>
      <c r="U10" s="17" t="n"/>
      <c r="V10" s="15" t="n"/>
    </row>
    <row r="11" ht="17" customHeight="1" s="2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6" t="n"/>
      <c r="S11" s="13" t="n"/>
      <c r="T11" s="17">
        <f>R11</f>
        <v/>
      </c>
      <c r="U11" s="17" t="n"/>
      <c r="V11" s="15" t="n"/>
    </row>
    <row r="12" ht="17" customHeight="1" s="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6" t="n"/>
      <c r="S12" s="13" t="n"/>
      <c r="T12" s="17">
        <f>R12</f>
        <v/>
      </c>
      <c r="U12" s="17" t="n"/>
      <c r="V12" s="15" t="n"/>
    </row>
    <row r="13" ht="17" customHeight="1" s="2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7">
        <f>R13</f>
        <v/>
      </c>
      <c r="U13" s="17" t="n"/>
      <c r="V13" s="15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6" t="n"/>
      <c r="S14" s="13" t="n"/>
      <c r="T14" s="17">
        <f>R14</f>
        <v/>
      </c>
      <c r="U14" s="17" t="n"/>
      <c r="V14" s="15" t="n"/>
    </row>
    <row r="15" ht="17" customHeight="1" s="2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6" t="n"/>
      <c r="S15" s="13" t="n"/>
      <c r="T15" s="17">
        <f>R15</f>
        <v/>
      </c>
      <c r="U15" s="17" t="n"/>
      <c r="V15" s="15" t="n"/>
    </row>
    <row r="16" ht="17" customHeight="1" s="2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6" t="n"/>
      <c r="S16" s="13" t="n"/>
      <c r="T16" s="17">
        <f>R16</f>
        <v/>
      </c>
      <c r="U16" s="17" t="n"/>
      <c r="V16" s="15" t="n"/>
    </row>
    <row r="17" ht="17" customHeight="1" s="2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6" t="n"/>
      <c r="S17" s="13" t="n"/>
      <c r="T17" s="17">
        <f>R17</f>
        <v/>
      </c>
      <c r="U17" s="17" t="n"/>
      <c r="V17" s="15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6" t="n"/>
      <c r="S18" s="13" t="n"/>
      <c r="T18" s="17">
        <f>R18</f>
        <v/>
      </c>
      <c r="U18" s="17" t="n"/>
      <c r="V18" s="15" t="n"/>
    </row>
    <row r="19" ht="17" customHeight="1" s="2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7">
        <f>R19</f>
        <v/>
      </c>
      <c r="U19" s="17" t="n"/>
      <c r="V19" s="15" t="n"/>
    </row>
  </sheetData>
  <pageMargins left="0.7" right="0.7" top="0.75" bottom="0.75" header="0.3" footer="0.3"/>
  <pageSetup orientation="portrait" paperSize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tabSelected="1" workbookViewId="0">
      <selection activeCell="E18" sqref="$A1:$XFD1048576"/>
    </sheetView>
  </sheetViews>
  <sheetFormatPr baseColWidth="8" defaultColWidth="9.81818181818182" defaultRowHeight="14"/>
  <cols>
    <col width="9.81818181818182" customWidth="1" style="2" min="1" max="1"/>
    <col width="9.81818181818182" customWidth="1" style="3" min="2" max="2"/>
    <col width="26.7272727272727" customWidth="1" style="3" min="3" max="3"/>
    <col width="9.81818181818182" customWidth="1" style="3" min="4" max="12"/>
    <col width="10.7727272727273" customWidth="1" style="3" min="13" max="13"/>
    <col width="9.81818181818182" customWidth="1" style="3" min="14" max="17"/>
    <col width="14.1818181818182" customWidth="1" style="3" min="18" max="18"/>
    <col width="9.81818181818182" customWidth="1" style="3" min="19" max="19"/>
    <col width="9.81818181818182" customWidth="1" style="2" min="20" max="20"/>
    <col width="16.3636363636364" customWidth="1" style="4" min="21" max="21"/>
    <col width="9.81818181818182" customWidth="1" style="2" min="22" max="16384"/>
  </cols>
  <sheetData>
    <row r="1" ht="14.75" customHeight="1" s="2">
      <c r="A1" t="inlineStr">
        <is>
          <t>序号</t>
        </is>
      </c>
      <c r="B1" s="3" t="inlineStr">
        <is>
          <t>科室代码</t>
        </is>
      </c>
      <c r="C1" s="3" t="inlineStr">
        <is>
          <t>出库科室</t>
        </is>
      </c>
      <c r="D1" s="3" t="inlineStr">
        <is>
          <t>一级科室</t>
        </is>
      </c>
      <c r="E1" s="3" t="inlineStr">
        <is>
          <t>使用日期</t>
        </is>
      </c>
      <c r="F1" s="3" t="inlineStr">
        <is>
          <t>物料</t>
        </is>
      </c>
      <c r="G1" s="3" t="inlineStr">
        <is>
          <t>物料说明</t>
        </is>
      </c>
      <c r="H1" s="3" t="inlineStr">
        <is>
          <t>规格</t>
        </is>
      </c>
      <c r="I1" s="3" t="inlineStr">
        <is>
          <t>物料类别</t>
        </is>
      </c>
      <c r="J1" s="3" t="inlineStr">
        <is>
          <t>出库数量</t>
        </is>
      </c>
      <c r="K1" s="3" t="inlineStr">
        <is>
          <t>单位</t>
        </is>
      </c>
      <c r="L1" s="3" t="inlineStr">
        <is>
          <t>单位成本</t>
        </is>
      </c>
      <c r="M1" s="3" t="inlineStr">
        <is>
          <t>总成本</t>
        </is>
      </c>
      <c r="N1" s="3" t="inlineStr">
        <is>
          <t>申领单号</t>
        </is>
      </c>
      <c r="O1" s="3" t="inlineStr">
        <is>
          <t>申领单行</t>
        </is>
      </c>
      <c r="P1" s="3" t="inlineStr">
        <is>
          <t>申领人</t>
        </is>
      </c>
      <c r="Q1" s="3" t="inlineStr">
        <is>
          <t>发出仓库</t>
        </is>
      </c>
      <c r="R1" s="3" t="inlineStr">
        <is>
          <t>账户别名</t>
        </is>
      </c>
      <c r="S1" s="3" t="inlineStr">
        <is>
          <t>参考单据</t>
        </is>
      </c>
      <c r="T1" t="inlineStr">
        <is>
          <t>院区</t>
        </is>
      </c>
      <c r="U1" s="4" t="inlineStr">
        <is>
          <t>科室对应</t>
        </is>
      </c>
    </row>
    <row r="2" ht="14.75" customHeight="1" s="2">
      <c r="A2" t="n">
        <v>161</v>
      </c>
      <c r="B2" s="5" t="inlineStr">
        <is>
          <t>203</t>
        </is>
      </c>
      <c r="C2" s="6" t="inlineStr">
        <is>
          <t>病理科</t>
        </is>
      </c>
      <c r="D2" s="6" t="inlineStr">
        <is>
          <t>病理科</t>
        </is>
      </c>
      <c r="E2" s="6" t="n">
        <v>46080.4009606481</v>
      </c>
      <c r="F2" s="6" t="inlineStr">
        <is>
          <t>100207545031</t>
        </is>
      </c>
      <c r="G2" s="6" t="inlineStr">
        <is>
          <t>604598-电池南孚5#LR6-6B （6节装）</t>
        </is>
      </c>
      <c r="H2" s="6" t="inlineStr">
        <is>
          <t>LR6-6B （6节装）</t>
        </is>
      </c>
      <c r="I2" s="6" t="inlineStr">
        <is>
          <t>办公日杂</t>
        </is>
      </c>
      <c r="J2" s="5" t="n">
        <v>2</v>
      </c>
      <c r="K2" s="6" t="inlineStr">
        <is>
          <t>件</t>
        </is>
      </c>
      <c r="L2" s="5" t="n">
        <v>12.6</v>
      </c>
      <c r="M2" s="7" t="n">
        <v>25.2</v>
      </c>
      <c r="N2" s="6" t="inlineStr">
        <is>
          <t>-</t>
        </is>
      </c>
      <c r="O2" s="5" t="inlineStr">
        <is>
          <t>-</t>
        </is>
      </c>
      <c r="P2" s="6" t="inlineStr">
        <is>
          <t>病理科XZM01</t>
        </is>
      </c>
      <c r="Q2" s="6" t="inlineStr">
        <is>
          <t>总务物资库房(西直门)</t>
        </is>
      </c>
      <c r="R2" s="6" t="inlineStr">
        <is>
          <t>病理科XZM01</t>
        </is>
      </c>
      <c r="S2" s="6" t="inlineStr">
        <is>
          <t>-</t>
        </is>
      </c>
      <c r="T2" s="8" t="inlineStr">
        <is>
          <t>西直门</t>
        </is>
      </c>
      <c r="U2" s="4" t="inlineStr">
        <is>
          <t>病理科</t>
        </is>
      </c>
    </row>
    <row r="3" ht="14.75" customHeight="1" s="2">
      <c r="B3" s="9" t="n"/>
      <c r="C3" s="10" t="n"/>
      <c r="D3" s="10" t="n"/>
      <c r="E3" s="10" t="n"/>
      <c r="F3" s="10" t="n"/>
      <c r="G3" s="10" t="n"/>
      <c r="H3" s="10" t="n"/>
      <c r="I3" s="10" t="n"/>
      <c r="J3" s="9" t="n"/>
      <c r="K3" s="10" t="n"/>
      <c r="L3" s="9" t="n"/>
      <c r="M3" s="11" t="n"/>
      <c r="N3" s="10" t="n"/>
      <c r="O3" s="9" t="n"/>
      <c r="P3" s="10" t="n"/>
      <c r="Q3" s="10" t="n"/>
      <c r="R3" s="10" t="n"/>
      <c r="S3" s="10" t="n"/>
      <c r="T3" s="8" t="n"/>
      <c r="U3" s="4" t="n"/>
    </row>
    <row r="4" ht="14.75" customHeight="1" s="2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8" t="n"/>
      <c r="U4" s="4" t="n"/>
    </row>
    <row r="5" ht="14.75" customHeight="1" s="2"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8" t="n"/>
      <c r="U5" s="4" t="n"/>
    </row>
    <row r="6" ht="14.75" customHeight="1" s="2"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8" t="n"/>
      <c r="U6" s="4" t="n"/>
    </row>
    <row r="7" ht="14.75" customHeight="1" s="2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8" t="n"/>
      <c r="U7" s="4" t="n"/>
    </row>
    <row r="8" ht="14.75" customHeight="1" s="2"/>
    <row r="9" ht="14.75" customHeight="1" s="2"/>
    <row r="10" ht="14.75" customHeight="1" s="2"/>
    <row r="11" ht="14.75" customHeight="1" s="2"/>
    <row r="12" ht="14.75" customHeight="1" s="2"/>
    <row r="13" ht="14.75" customHeight="1" s="2"/>
    <row r="14" ht="14.75" customHeight="1" s="2"/>
    <row r="15" ht="14.75" customHeight="1" s="2"/>
    <row r="16" ht="14.75" customHeight="1" s="2"/>
    <row r="17" ht="14.75" customHeight="1" s="2"/>
    <row r="18" ht="14.75" customHeight="1" s="2"/>
    <row r="19" ht="14.75" customHeight="1" s="2"/>
    <row r="20" ht="14.75" customHeight="1" s="2"/>
    <row r="21" ht="14.75" customHeight="1" s="2"/>
    <row r="22" ht="14.75" customHeight="1" s="2"/>
    <row r="23" ht="14.75" customHeight="1" s="2"/>
    <row r="24" ht="14.75" customHeight="1" s="2"/>
    <row r="25" ht="14.75" customHeight="1" s="2"/>
    <row r="26" ht="14.75" customHeight="1" s="2"/>
    <row r="27" ht="14.75" customHeight="1" s="2"/>
    <row r="28" ht="14.75" customHeight="1" s="2"/>
    <row r="29" ht="14.75" customHeight="1" s="2"/>
    <row r="30" ht="14.75" customHeight="1" s="2"/>
    <row r="31" ht="14.75" customHeight="1" s="2"/>
    <row r="32" ht="14.75" customHeight="1" s="2"/>
    <row r="33" ht="14.75" customHeight="1" s="2"/>
    <row r="34" ht="14.75" customHeight="1" s="2"/>
    <row r="35" ht="14.75" customHeight="1" s="2"/>
    <row r="36" ht="14.75" customHeight="1" s="2"/>
    <row r="37" ht="14.75" customHeight="1" s="2"/>
    <row r="38" ht="14.75" customHeight="1" s="2"/>
    <row r="39" ht="14.75" customHeight="1" s="2"/>
    <row r="40" ht="14.75" customHeight="1" s="2"/>
    <row r="41" ht="14.75" customHeight="1" s="2"/>
    <row r="42" ht="14.75" customHeight="1" s="2"/>
    <row r="43" ht="14.75" customHeight="1" s="2"/>
    <row r="44" ht="14.75" customHeight="1" s="2"/>
    <row r="45" ht="14.75" customHeight="1" s="2"/>
    <row r="46" ht="14.75" customHeight="1" s="2"/>
    <row r="47" ht="14.75" customHeight="1" s="2"/>
    <row r="48" ht="14.75" customHeight="1" s="2"/>
    <row r="49" ht="14.75" customHeight="1" s="2"/>
    <row r="50" ht="14.75" customHeight="1" s="2"/>
    <row r="51" ht="14.75" customHeight="1" s="2"/>
    <row r="52" ht="14.75" customHeight="1" s="2"/>
    <row r="53" ht="14.75" customHeight="1" s="2"/>
    <row r="54" ht="14.75" customHeight="1" s="2"/>
    <row r="55" ht="14.75" customHeight="1" s="2"/>
    <row r="56" ht="14.75" customHeight="1" s="2"/>
    <row r="57" ht="14.75" customHeight="1" s="2"/>
    <row r="58" ht="14.75" customHeight="1" s="2"/>
    <row r="59" ht="14.75" customHeight="1" s="2"/>
    <row r="60" ht="14.75" customHeight="1" s="2"/>
    <row r="61" ht="14.75" customHeight="1" s="2"/>
    <row r="62" ht="14.75" customHeight="1" s="2"/>
    <row r="63" ht="14.75" customHeight="1" s="2"/>
    <row r="64" ht="14.75" customHeight="1" s="2"/>
    <row r="65" ht="14.75" customHeight="1" s="2"/>
    <row r="66" ht="14.75" customHeight="1" s="2"/>
    <row r="67" ht="14.75" customHeight="1" s="2"/>
    <row r="68" ht="14.75" customHeight="1" s="2"/>
    <row r="69" ht="14.75" customHeight="1" s="2"/>
    <row r="70" ht="14.75" customHeight="1" s="2"/>
    <row r="71" ht="14.75" customHeight="1" s="2"/>
    <row r="72" ht="14.75" customHeight="1" s="2"/>
    <row r="73" ht="14.75" customHeight="1" s="2"/>
    <row r="74" ht="14.75" customHeight="1" s="2"/>
    <row r="75" ht="14.75" customHeight="1" s="2"/>
    <row r="76" ht="14.75" customHeight="1" s="2"/>
    <row r="77" ht="14.75" customHeight="1" s="2"/>
    <row r="78" ht="14.75" customHeight="1" s="2"/>
    <row r="79" ht="14.75" customHeight="1" s="2"/>
    <row r="80" ht="14.75" customHeight="1" s="2"/>
    <row r="81" ht="14.75" customHeight="1" s="2"/>
    <row r="82" ht="14.75" customHeight="1" s="2"/>
    <row r="83" ht="14.75" customHeight="1" s="2"/>
    <row r="84" ht="14.75" customHeight="1" s="2"/>
    <row r="85" ht="14.75" customHeight="1" s="2"/>
    <row r="86" ht="14.75" customHeight="1" s="2"/>
    <row r="87" ht="14.75" customHeight="1" s="2"/>
    <row r="88" ht="14.75" customHeight="1" s="2"/>
    <row r="89" ht="14.75" customHeight="1" s="2"/>
    <row r="90" ht="14.75" customHeight="1" s="2"/>
    <row r="91" ht="14.75" customHeight="1" s="2"/>
    <row r="92" ht="14.75" customHeight="1" s="2"/>
    <row r="93" ht="14.75" customHeight="1" s="2"/>
    <row r="94" ht="14.75" customHeight="1" s="2"/>
    <row r="95" ht="14.75" customHeight="1" s="2"/>
    <row r="96" ht="14.75" customHeight="1" s="2"/>
    <row r="97" ht="14.75" customHeight="1" s="2"/>
    <row r="98" ht="14.75" customHeight="1" s="2"/>
    <row r="99" ht="14.75" customHeight="1" s="2"/>
    <row r="100" ht="14.75" customHeight="1" s="2"/>
    <row r="101" ht="14.75" customHeight="1" s="2"/>
    <row r="102" ht="14.75" customHeight="1" s="2"/>
    <row r="103" ht="14.75" customHeight="1" s="2"/>
    <row r="104" ht="14.75" customHeight="1" s="2"/>
    <row r="105" ht="14.75" customHeight="1" s="2"/>
    <row r="106" ht="14.75" customHeight="1" s="2"/>
    <row r="107" ht="14.75" customHeight="1" s="2"/>
    <row r="108" ht="14.75" customHeight="1" s="2"/>
    <row r="109" ht="14.75" customHeight="1" s="2"/>
    <row r="110" ht="14.75" customHeight="1" s="2"/>
    <row r="111" ht="14.75" customHeight="1" s="2"/>
    <row r="112" ht="14.75" customHeight="1" s="2"/>
    <row r="113" ht="14.75" customHeight="1" s="2"/>
    <row r="114" ht="14.75" customHeight="1" s="2"/>
    <row r="115" ht="14.75" customHeight="1" s="2"/>
    <row r="116" ht="14.75" customHeight="1" s="2"/>
    <row r="117" ht="14.75" customHeight="1" s="2"/>
    <row r="118" ht="14.75" customHeight="1" s="2"/>
    <row r="119" ht="14.75" customHeight="1" s="2"/>
    <row r="120" ht="14.75" customHeight="1" s="2"/>
    <row r="121" ht="14.75" customHeight="1" s="2"/>
    <row r="122" ht="14.75" customHeight="1" s="2"/>
    <row r="123" ht="14.75" customHeight="1" s="2"/>
    <row r="124" ht="14.75" customHeight="1" s="2"/>
    <row r="125" ht="14.75" customHeight="1" s="2"/>
    <row r="126" ht="14.75" customHeight="1" s="2"/>
    <row r="127" ht="14.75" customHeight="1" s="2"/>
    <row r="128" ht="14.75" customHeight="1" s="2"/>
    <row r="129" ht="14.75" customHeight="1" s="2"/>
    <row r="130" ht="14.75" customHeight="1" s="2"/>
    <row r="131" ht="14.75" customHeight="1" s="2"/>
    <row r="132" ht="14.75" customHeight="1" s="2"/>
    <row r="133" ht="14.75" customHeight="1" s="2"/>
    <row r="134" ht="14.75" customHeight="1" s="2"/>
    <row r="135" ht="14.75" customHeight="1" s="2"/>
    <row r="136" ht="14.75" customHeight="1" s="2"/>
    <row r="137" ht="14.75" customHeight="1" s="2"/>
    <row r="138" ht="14.75" customHeight="1" s="2"/>
    <row r="139" ht="14.75" customHeight="1" s="2"/>
    <row r="140" ht="14.75" customHeight="1" s="2"/>
    <row r="141" ht="14.75" customHeight="1" s="2"/>
    <row r="142" ht="14.75" customHeight="1" s="2"/>
    <row r="143" ht="14.75" customHeight="1" s="2"/>
    <row r="144" ht="14.75" customHeight="1" s="2"/>
    <row r="145" ht="14.75" customHeight="1" s="2"/>
    <row r="146" ht="14.75" customHeight="1" s="2"/>
    <row r="147" ht="14.75" customHeight="1" s="2"/>
    <row r="148" ht="14.75" customHeight="1" s="2"/>
    <row r="149" ht="14.75" customHeight="1" s="2"/>
    <row r="150" ht="14.75" customHeight="1" s="2"/>
    <row r="151" ht="14.75" customHeight="1" s="2"/>
    <row r="152" ht="14.75" customHeight="1" s="2"/>
    <row r="153" ht="14.75" customHeight="1" s="2"/>
    <row r="154" ht="14.75" customHeight="1" s="2"/>
    <row r="155" ht="14.75" customHeight="1" s="2"/>
    <row r="156" ht="14.75" customHeight="1" s="2"/>
    <row r="157" ht="14.75" customHeight="1" s="2"/>
    <row r="158" ht="14.75" customHeight="1" s="2"/>
    <row r="159" ht="14.75" customHeight="1" s="2"/>
    <row r="160" ht="14.75" customHeight="1" s="2"/>
    <row r="161" ht="14.75" customHeight="1" s="2"/>
    <row r="162" ht="14.75" customHeight="1" s="2"/>
    <row r="163" ht="14.75" customHeight="1" s="2"/>
    <row r="164" ht="14.75" customHeight="1" s="2"/>
    <row r="165" ht="14.75" customHeight="1" s="2"/>
    <row r="166" ht="14.75" customHeight="1" s="2"/>
    <row r="167" ht="14.75" customHeight="1" s="2"/>
    <row r="168" ht="14.75" customHeight="1" s="2"/>
    <row r="169" ht="14.75" customHeight="1" s="2"/>
    <row r="170" ht="14.75" customHeight="1" s="2"/>
    <row r="171" ht="14.75" customHeight="1" s="2"/>
    <row r="172" ht="14.75" customHeight="1" s="2"/>
    <row r="173" ht="14.75" customHeight="1" s="2"/>
    <row r="174" ht="14.75" customHeight="1" s="2"/>
    <row r="175" ht="14.75" customHeight="1" s="2"/>
    <row r="176" ht="14.75" customHeight="1" s="2"/>
    <row r="177" ht="14.75" customHeight="1" s="2"/>
    <row r="178" ht="14.75" customHeight="1" s="2"/>
    <row r="179" ht="14.75" customHeight="1" s="2"/>
    <row r="180" ht="14.75" customHeight="1" s="2"/>
    <row r="181" ht="14.75" customHeight="1" s="2"/>
    <row r="182" ht="14.75" customHeight="1" s="2"/>
    <row r="183" ht="14.75" customHeight="1" s="2"/>
    <row r="184" ht="14.75" customHeight="1" s="2"/>
    <row r="185" ht="14.75" customHeight="1" s="2"/>
    <row r="186" ht="14.75" customHeight="1" s="2"/>
    <row r="187" ht="14.75" customHeight="1" s="2"/>
    <row r="188" ht="14.75" customHeight="1" s="2"/>
    <row r="189" ht="14.75" customHeight="1" s="2"/>
    <row r="190" ht="14.75" customHeight="1" s="2"/>
    <row r="191" ht="14.75" customHeight="1" s="2"/>
    <row r="192" ht="14.75" customHeight="1" s="2"/>
    <row r="193" ht="14.75" customHeight="1" s="2"/>
    <row r="194" ht="14.75" customHeight="1" s="2"/>
    <row r="195" ht="14.75" customHeight="1" s="2"/>
    <row r="196" ht="14.75" customHeight="1" s="2"/>
    <row r="197" ht="14.75" customHeight="1" s="2"/>
    <row r="198" ht="14.75" customHeight="1" s="2"/>
    <row r="199" ht="14.75" customHeight="1" s="2"/>
    <row r="200" ht="14.75" customHeight="1" s="2"/>
    <row r="201" ht="14.75" customHeight="1" s="2"/>
    <row r="202" ht="14.75" customHeight="1" s="2"/>
    <row r="203" ht="14.75" customHeight="1" s="2"/>
    <row r="204" ht="14.75" customHeight="1" s="2"/>
    <row r="205" ht="14.75" customHeight="1" s="2"/>
    <row r="206" ht="14.75" customHeight="1" s="2"/>
    <row r="207" ht="14.75" customHeight="1" s="2"/>
    <row r="208" ht="14.75" customHeight="1" s="2"/>
    <row r="209" ht="14.75" customHeight="1" s="2"/>
    <row r="210" ht="14.75" customHeight="1" s="2"/>
    <row r="211" ht="14.75" customHeight="1" s="2"/>
    <row r="212" ht="14.75" customHeight="1" s="2"/>
    <row r="213" ht="14.75" customHeight="1" s="2"/>
    <row r="214" ht="14.75" customHeight="1" s="2"/>
    <row r="215" ht="14.75" customHeight="1" s="2"/>
    <row r="216" ht="14.75" customHeight="1" s="2"/>
    <row r="217" ht="14.75" customHeight="1" s="2"/>
    <row r="218" ht="14.75" customHeight="1" s="2"/>
    <row r="219" ht="14.75" customHeight="1" s="2"/>
    <row r="220" ht="14.75" customHeight="1" s="2"/>
    <row r="221" ht="14.75" customHeight="1" s="2"/>
    <row r="222" ht="14.75" customHeight="1" s="2"/>
    <row r="223" ht="14.75" customHeight="1" s="2"/>
    <row r="224" ht="14.75" customHeight="1" s="2"/>
    <row r="225" ht="14.75" customHeight="1" s="2"/>
    <row r="226" ht="14.75" customHeight="1" s="2"/>
    <row r="227" ht="14.75" customHeight="1" s="2"/>
    <row r="228" ht="14.75" customHeight="1" s="2"/>
    <row r="229" ht="14.75" customHeight="1" s="2"/>
    <row r="230" ht="14.75" customHeight="1" s="2"/>
    <row r="231" ht="14.75" customHeight="1" s="2"/>
    <row r="232" ht="14.75" customHeight="1" s="2"/>
    <row r="233" ht="14.75" customHeight="1" s="2"/>
    <row r="234" ht="14.75" customHeight="1" s="2"/>
    <row r="235" ht="14.75" customHeight="1" s="2"/>
    <row r="236" ht="14.75" customHeight="1" s="2"/>
    <row r="237" ht="14.75" customHeight="1" s="2"/>
    <row r="238" ht="14.75" customHeight="1" s="2"/>
    <row r="239" ht="14.75" customHeight="1" s="2"/>
    <row r="240" ht="14.75" customHeight="1" s="2"/>
    <row r="241" ht="14.75" customHeight="1" s="2"/>
    <row r="242" ht="14.75" customHeight="1" s="2"/>
    <row r="243" ht="14.75" customHeight="1" s="2"/>
    <row r="244" ht="14.75" customHeight="1" s="2"/>
    <row r="245" ht="14.75" customHeight="1" s="2"/>
    <row r="246" ht="14.75" customHeight="1" s="2"/>
    <row r="247" ht="14.75" customHeight="1" s="2"/>
    <row r="248" ht="14.75" customHeight="1" s="2"/>
    <row r="249" ht="14.75" customHeight="1" s="2"/>
    <row r="250" ht="14.75" customHeight="1" s="2"/>
    <row r="251" ht="14.75" customHeight="1" s="2"/>
    <row r="252" ht="14.75" customHeight="1" s="2"/>
    <row r="253" ht="14.75" customHeight="1" s="2"/>
    <row r="254" ht="14.75" customHeight="1" s="2"/>
    <row r="255" ht="14.75" customHeight="1" s="2"/>
    <row r="256" ht="14.75" customHeight="1" s="2"/>
    <row r="257" ht="14.75" customHeight="1" s="2"/>
    <row r="258" ht="14.75" customHeight="1" s="2"/>
    <row r="259" ht="14.75" customHeight="1" s="2"/>
    <row r="260" ht="14.75" customHeight="1" s="2"/>
    <row r="261" ht="14.75" customHeight="1" s="2"/>
    <row r="262" ht="14.75" customHeight="1" s="2"/>
    <row r="263" ht="14.75" customHeight="1" s="2"/>
    <row r="264" ht="14.75" customHeight="1" s="2"/>
    <row r="265" ht="14.75" customHeight="1" s="2"/>
    <row r="266" ht="14.75" customHeight="1" s="2"/>
    <row r="267" ht="14.75" customHeight="1" s="2"/>
    <row r="268" ht="14.75" customHeight="1" s="2"/>
    <row r="269" ht="14.75" customHeight="1" s="2"/>
    <row r="270" ht="14.75" customHeight="1" s="2"/>
    <row r="271" ht="14.75" customHeight="1" s="2"/>
    <row r="272" ht="14.75" customHeight="1" s="2"/>
    <row r="273" ht="14.75" customHeight="1" s="2"/>
    <row r="274" ht="14.75" customHeight="1" s="2"/>
    <row r="275" ht="14.75" customHeight="1" s="2"/>
    <row r="276" ht="14.75" customHeight="1" s="2"/>
    <row r="277" ht="14.75" customHeight="1" s="2"/>
    <row r="278" ht="14.75" customHeight="1" s="2"/>
    <row r="279" ht="14.75" customHeight="1" s="2"/>
    <row r="280" ht="14.75" customHeight="1" s="2"/>
    <row r="281" ht="14.75" customHeight="1" s="2"/>
    <row r="282" ht="14.75" customHeight="1" s="2"/>
    <row r="283" ht="14.75" customHeight="1" s="2"/>
    <row r="284" ht="14.75" customHeight="1" s="2"/>
    <row r="285" ht="14.75" customHeight="1" s="2"/>
    <row r="286" ht="14.75" customHeight="1" s="2"/>
    <row r="287" ht="14.75" customHeight="1" s="2"/>
    <row r="288" ht="14.75" customHeight="1" s="2"/>
    <row r="289" ht="14.75" customHeight="1" s="2"/>
    <row r="290" ht="14.75" customHeight="1" s="2"/>
    <row r="291" ht="14.75" customHeight="1" s="2"/>
    <row r="292" ht="14.75" customHeight="1" s="2"/>
    <row r="293" ht="14.75" customHeight="1" s="2"/>
    <row r="294" ht="14.75" customHeight="1" s="2"/>
    <row r="295" ht="14.75" customHeight="1" s="2"/>
    <row r="296" ht="14.75" customHeight="1" s="2"/>
    <row r="297" ht="14.75" customHeight="1" s="2"/>
    <row r="298" ht="14.75" customHeight="1" s="2"/>
    <row r="299" ht="14.75" customHeight="1" s="2"/>
    <row r="300" ht="14.75" customHeight="1" s="2"/>
    <row r="301" ht="14.75" customHeight="1" s="2"/>
    <row r="302" ht="14.75" customHeight="1" s="2"/>
    <row r="303" ht="14.75" customHeight="1" s="2"/>
    <row r="304" ht="14.75" customHeight="1" s="2"/>
    <row r="305" ht="14.75" customHeight="1" s="2"/>
    <row r="306" ht="14.75" customHeight="1" s="2"/>
    <row r="307" ht="14.75" customHeight="1" s="2"/>
    <row r="308" ht="14.75" customHeight="1" s="2"/>
    <row r="309" ht="14.75" customHeight="1" s="2"/>
    <row r="310" ht="14.75" customHeight="1" s="2"/>
    <row r="311" ht="14.75" customHeight="1" s="2"/>
    <row r="312" ht="14.75" customHeight="1" s="2"/>
    <row r="313" ht="14.75" customHeight="1" s="2"/>
    <row r="314" ht="14.75" customHeight="1" s="2"/>
    <row r="315" ht="14.75" customHeight="1" s="2"/>
    <row r="316" ht="14.75" customHeight="1" s="2"/>
    <row r="317" ht="14.75" customHeight="1" s="2"/>
    <row r="318" ht="14.75" customHeight="1" s="2"/>
    <row r="319" ht="14.75" customHeight="1" s="2"/>
    <row r="320" ht="14.75" customHeight="1" s="2"/>
    <row r="321" ht="14.75" customHeight="1" s="2"/>
    <row r="322" ht="14.75" customHeight="1" s="2"/>
    <row r="323" ht="14.75" customHeight="1" s="2"/>
    <row r="324" ht="14.75" customHeight="1" s="2"/>
    <row r="325" ht="14.75" customHeight="1" s="2"/>
    <row r="326" ht="14.75" customHeight="1" s="2"/>
    <row r="327" ht="14.75" customHeight="1" s="2"/>
    <row r="328" ht="14.75" customHeight="1" s="2"/>
    <row r="329" ht="14.75" customHeight="1" s="2"/>
    <row r="330" ht="14.75" customHeight="1" s="2"/>
    <row r="331" ht="14.75" customHeight="1" s="2"/>
    <row r="332" ht="14.75" customHeight="1" s="2"/>
    <row r="333" ht="14.75" customHeight="1" s="2"/>
    <row r="334" ht="14.75" customHeight="1" s="2"/>
    <row r="335" ht="14.75" customHeight="1" s="2"/>
    <row r="336" ht="14.75" customHeight="1" s="2"/>
    <row r="337" ht="14.75" customHeight="1" s="2"/>
    <row r="338" ht="14.75" customHeight="1" s="2"/>
    <row r="339" ht="14.75" customHeight="1" s="2"/>
    <row r="340" ht="14.75" customHeight="1" s="2"/>
    <row r="341" ht="14.75" customHeight="1" s="2"/>
    <row r="342" ht="14.75" customHeight="1" s="2"/>
    <row r="343" ht="14.75" customHeight="1" s="2"/>
    <row r="344" ht="14.75" customHeight="1" s="2"/>
    <row r="345" ht="14.75" customHeight="1" s="2"/>
    <row r="346" ht="14.75" customHeight="1" s="2"/>
    <row r="347" ht="14.75" customHeight="1" s="2"/>
    <row r="348" ht="14.75" customHeight="1" s="2"/>
    <row r="349" ht="14.75" customHeight="1" s="2"/>
    <row r="350" ht="14.75" customHeight="1" s="2"/>
    <row r="351" ht="14.75" customHeight="1" s="2"/>
    <row r="352" ht="14.75" customHeight="1" s="2"/>
    <row r="353" ht="14.75" customHeight="1" s="2"/>
    <row r="354" ht="14.75" customHeight="1" s="2"/>
    <row r="355" ht="14.75" customHeight="1" s="2"/>
    <row r="356" ht="14.75" customHeight="1" s="2"/>
    <row r="357" ht="14.75" customHeight="1" s="2"/>
    <row r="358" ht="14.75" customHeight="1" s="2"/>
    <row r="359" ht="14.75" customHeight="1" s="2"/>
    <row r="360" ht="14.75" customHeight="1" s="2"/>
    <row r="361" ht="14.75" customHeight="1" s="2"/>
    <row r="362" ht="14.75" customHeight="1" s="2"/>
    <row r="363" ht="14.75" customHeight="1" s="2"/>
    <row r="364" ht="14.75" customHeight="1" s="2"/>
    <row r="365" ht="14.75" customHeight="1" s="2"/>
    <row r="366" ht="14.75" customHeight="1" s="2"/>
    <row r="367" ht="14.75" customHeight="1" s="2"/>
    <row r="368" ht="14.75" customHeight="1" s="2"/>
    <row r="369" ht="14.75" customHeight="1" s="2"/>
    <row r="370" ht="14.75" customHeight="1" s="2"/>
    <row r="371" ht="14.75" customHeight="1" s="2"/>
    <row r="372" ht="14.75" customHeight="1" s="2"/>
    <row r="373" ht="14.75" customHeight="1" s="2"/>
    <row r="374" ht="14.75" customHeight="1" s="2"/>
    <row r="375" ht="14.75" customHeight="1" s="2"/>
    <row r="376" ht="14.75" customHeight="1" s="2"/>
    <row r="377" ht="14.75" customHeight="1" s="2"/>
    <row r="378" ht="14.75" customHeight="1" s="2"/>
    <row r="379" ht="14.75" customHeight="1" s="2"/>
    <row r="380" ht="14.75" customHeight="1" s="2"/>
    <row r="381" ht="14.75" customHeight="1" s="2"/>
    <row r="382" ht="14.75" customHeight="1" s="2"/>
    <row r="383" ht="14.75" customHeight="1" s="2"/>
    <row r="384" ht="14.75" customHeight="1" s="2"/>
    <row r="385" ht="14.75" customHeight="1" s="2"/>
    <row r="386" ht="14.75" customHeight="1" s="2"/>
    <row r="387" ht="14.75" customHeight="1" s="2"/>
    <row r="388" ht="14.75" customHeight="1" s="2"/>
    <row r="389" ht="14.75" customHeight="1" s="2"/>
    <row r="390" ht="14.75" customHeight="1" s="2"/>
    <row r="391" ht="14.75" customHeight="1" s="2"/>
    <row r="392" ht="14.75" customHeight="1" s="2"/>
    <row r="393" ht="14.75" customHeight="1" s="2"/>
    <row r="394" ht="14.75" customHeight="1" s="2"/>
    <row r="395" ht="14.75" customHeight="1" s="2"/>
    <row r="396" ht="14.75" customHeight="1" s="2"/>
    <row r="397" ht="14.75" customHeight="1" s="2"/>
    <row r="398" ht="14.75" customHeight="1" s="2"/>
    <row r="399" ht="14.75" customHeight="1" s="2"/>
    <row r="400" ht="14.75" customHeight="1" s="2"/>
    <row r="401" ht="14.75" customHeight="1" s="2"/>
    <row r="402" ht="14.75" customHeight="1" s="2"/>
    <row r="403" ht="14.75" customHeight="1" s="2"/>
    <row r="404" ht="14.75" customHeight="1" s="2"/>
    <row r="405" ht="14.75" customHeight="1" s="2"/>
    <row r="406" ht="14.75" customHeight="1" s="2"/>
    <row r="407" ht="14.75" customHeight="1" s="2"/>
    <row r="408" ht="14.75" customHeight="1" s="2"/>
    <row r="409" ht="14.75" customHeight="1" s="2"/>
    <row r="410" ht="14.75" customHeight="1" s="2"/>
    <row r="411" ht="14.75" customHeight="1" s="2"/>
    <row r="412" ht="14.75" customHeight="1" s="2"/>
    <row r="413" ht="14.75" customHeight="1" s="2"/>
    <row r="414" ht="14.75" customHeight="1" s="2"/>
    <row r="415" ht="14.75" customHeight="1" s="2"/>
    <row r="416" ht="14.75" customHeight="1" s="2"/>
    <row r="417" ht="14.75" customHeight="1" s="2"/>
    <row r="418" ht="14.75" customHeight="1" s="2"/>
    <row r="419" ht="14.75" customHeight="1" s="2"/>
    <row r="420" ht="14.75" customHeight="1" s="2"/>
    <row r="421" ht="14.75" customHeight="1" s="2"/>
    <row r="422" ht="14.75" customHeight="1" s="2"/>
    <row r="423" ht="14.75" customHeight="1" s="2"/>
    <row r="424" ht="14.75" customHeight="1" s="2"/>
    <row r="425" ht="14.75" customHeight="1" s="2"/>
    <row r="426" ht="14.75" customHeight="1" s="2"/>
    <row r="427" ht="14.75" customHeight="1" s="2"/>
    <row r="428" ht="14.75" customHeight="1" s="2"/>
    <row r="429" ht="14.75" customHeight="1" s="2"/>
    <row r="430" ht="14.75" customHeight="1" s="2"/>
    <row r="431" ht="14.75" customHeight="1" s="2"/>
    <row r="432" ht="14.75" customHeight="1" s="2"/>
    <row r="433" ht="14.75" customHeight="1" s="2"/>
    <row r="434" ht="14.75" customHeight="1" s="2"/>
    <row r="435" ht="14.75" customHeight="1" s="2"/>
    <row r="436" ht="14.75" customHeight="1" s="2"/>
    <row r="437" ht="14.75" customHeight="1" s="2"/>
    <row r="438" ht="14.75" customHeight="1" s="2"/>
    <row r="439" ht="14.75" customHeight="1" s="2"/>
    <row r="440" ht="14.75" customHeight="1" s="2"/>
    <row r="441" ht="14.75" customHeight="1" s="2"/>
    <row r="442" ht="14.75" customHeight="1" s="2"/>
    <row r="443" ht="14.75" customHeight="1" s="2"/>
    <row r="444" ht="14.75" customHeight="1" s="2"/>
    <row r="445" ht="14.75" customHeight="1" s="2"/>
    <row r="446" ht="14.75" customHeight="1" s="2"/>
    <row r="447" ht="14.75" customHeight="1" s="2"/>
    <row r="448" ht="14.75" customHeight="1" s="2"/>
    <row r="449" ht="14.75" customHeight="1" s="2"/>
    <row r="450" ht="14.75" customHeight="1" s="2"/>
    <row r="451" ht="14.75" customHeight="1" s="2"/>
    <row r="452" ht="14.75" customHeight="1" s="2"/>
    <row r="453" ht="14.75" customHeight="1" s="2"/>
    <row r="454" ht="14.75" customHeight="1" s="2"/>
    <row r="455" ht="14.75" customHeight="1" s="2"/>
    <row r="456" ht="14.75" customHeight="1" s="2"/>
    <row r="457" ht="14.75" customHeight="1" s="2"/>
    <row r="458" ht="14.75" customHeight="1" s="2"/>
    <row r="459" ht="14.75" customHeight="1" s="2"/>
    <row r="460" ht="14.75" customHeight="1" s="2"/>
    <row r="461" ht="14.75" customHeight="1" s="2"/>
    <row r="462" ht="14.75" customHeight="1" s="2"/>
    <row r="463" ht="14.75" customHeight="1" s="2"/>
    <row r="464" ht="14.75" customHeight="1" s="2"/>
    <row r="465" ht="14.75" customHeight="1" s="2"/>
    <row r="466" ht="14.75" customHeight="1" s="2"/>
    <row r="467" ht="14.75" customHeight="1" s="2"/>
    <row r="468" ht="14.75" customHeight="1" s="2"/>
    <row r="469" ht="14.75" customHeight="1" s="2"/>
    <row r="470" ht="14.75" customHeight="1" s="2"/>
    <row r="471" ht="14.75" customHeight="1" s="2"/>
    <row r="472" ht="14.75" customHeight="1" s="2"/>
    <row r="473" ht="14.75" customHeight="1" s="2"/>
    <row r="474" ht="14.75" customHeight="1" s="2"/>
    <row r="475" ht="14.75" customHeight="1" s="2"/>
    <row r="476" ht="14.75" customHeight="1" s="2"/>
    <row r="477" ht="14.75" customHeight="1" s="2"/>
    <row r="478" ht="14.75" customHeight="1" s="2"/>
    <row r="479" ht="14.75" customHeight="1" s="2"/>
    <row r="480" ht="14.75" customHeight="1" s="2"/>
    <row r="481" ht="14.75" customHeight="1" s="2"/>
    <row r="482" ht="14.75" customHeight="1" s="2"/>
    <row r="483" ht="14.75" customHeight="1" s="2"/>
    <row r="484" ht="14.75" customHeight="1" s="2"/>
    <row r="485" ht="14.75" customHeight="1" s="2"/>
    <row r="486" ht="14.75" customHeight="1" s="2"/>
    <row r="487" ht="14.75" customHeight="1" s="2"/>
    <row r="488" ht="14.75" customHeight="1" s="2"/>
    <row r="489" ht="14.75" customHeight="1" s="2"/>
    <row r="490" ht="14.75" customHeight="1" s="2"/>
    <row r="491" ht="14.75" customHeight="1" s="2"/>
    <row r="492" ht="14.75" customHeight="1" s="2"/>
    <row r="493" ht="14.75" customHeight="1" s="2"/>
    <row r="494" ht="14.75" customHeight="1" s="2"/>
    <row r="495" ht="14.75" customHeight="1" s="2"/>
    <row r="496" ht="14.75" customHeight="1" s="2"/>
    <row r="497" ht="14.75" customHeight="1" s="2"/>
    <row r="498" ht="14.75" customHeight="1" s="2"/>
    <row r="499" ht="14.75" customHeight="1" s="2"/>
    <row r="500" ht="14.75" customHeight="1" s="2"/>
    <row r="501" ht="14.75" customHeight="1" s="2"/>
    <row r="502" ht="14.75" customHeight="1" s="2"/>
    <row r="503" ht="14.75" customHeight="1" s="2"/>
    <row r="504" ht="14.75" customHeight="1" s="2"/>
    <row r="505" ht="14.75" customHeight="1" s="2"/>
    <row r="506" ht="14.75" customHeight="1" s="2"/>
    <row r="507" ht="14.75" customHeight="1" s="2"/>
    <row r="508" ht="14.75" customHeight="1" s="2"/>
    <row r="509" ht="14.75" customHeight="1" s="2"/>
    <row r="510" ht="14.75" customHeight="1" s="2"/>
    <row r="511" ht="14.75" customHeight="1" s="2"/>
    <row r="512" ht="14.75" customHeight="1" s="2"/>
    <row r="513" ht="14.75" customHeight="1" s="2"/>
    <row r="514" ht="14.75" customHeight="1" s="2"/>
    <row r="515" ht="14.75" customHeight="1" s="2"/>
    <row r="516" ht="14.75" customHeight="1" s="2"/>
    <row r="517" ht="14.75" customHeight="1" s="2"/>
    <row r="518" ht="14.75" customHeight="1" s="2"/>
    <row r="519" ht="14.75" customHeight="1" s="2"/>
    <row r="520" ht="14.75" customHeight="1" s="2"/>
    <row r="521" ht="14.75" customHeight="1" s="2"/>
    <row r="522" ht="14.75" customHeight="1" s="2"/>
    <row r="523" ht="14.75" customHeight="1" s="2"/>
    <row r="524" ht="14.75" customHeight="1" s="2"/>
    <row r="525" ht="14.75" customHeight="1" s="2"/>
    <row r="526" ht="14.75" customHeight="1" s="2"/>
    <row r="527" ht="14.75" customHeight="1" s="2"/>
    <row r="528" ht="14.75" customHeight="1" s="2"/>
    <row r="529" ht="14.75" customHeight="1" s="2"/>
    <row r="530" ht="14.75" customHeight="1" s="2"/>
    <row r="531" ht="14.75" customHeight="1" s="2"/>
    <row r="532" ht="14.75" customHeight="1" s="2"/>
    <row r="533" ht="14.75" customHeight="1" s="2"/>
    <row r="534" ht="14.75" customHeight="1" s="2"/>
    <row r="535" ht="14.75" customHeight="1" s="2"/>
    <row r="536" ht="14.75" customHeight="1" s="2"/>
    <row r="537" ht="14.75" customHeight="1" s="2"/>
    <row r="538" ht="14.75" customHeight="1" s="2"/>
    <row r="539" ht="14.75" customHeight="1" s="2"/>
    <row r="540" ht="14.75" customHeight="1" s="2"/>
    <row r="541" ht="14.75" customHeight="1" s="2"/>
    <row r="542" ht="14.75" customHeight="1" s="2"/>
    <row r="543" ht="14.75" customHeight="1" s="2"/>
    <row r="544" ht="14.75" customHeight="1" s="2"/>
    <row r="545" ht="14.75" customHeight="1" s="2"/>
    <row r="546" ht="14.75" customHeight="1" s="2"/>
    <row r="547" ht="14.75" customHeight="1" s="2"/>
    <row r="548" ht="14.75" customHeight="1" s="2"/>
    <row r="549" ht="14.75" customHeight="1" s="2"/>
    <row r="550" ht="14.75" customHeight="1" s="2"/>
    <row r="551" ht="14.75" customHeight="1" s="2"/>
    <row r="552" ht="14.75" customHeight="1" s="2"/>
    <row r="553" ht="14.75" customHeight="1" s="2"/>
    <row r="554" ht="14.75" customHeight="1" s="2"/>
    <row r="555" ht="14.75" customHeight="1" s="2"/>
    <row r="556" ht="14.75" customHeight="1" s="2"/>
    <row r="557" ht="14.75" customHeight="1" s="2"/>
    <row r="558" ht="14.75" customHeight="1" s="2"/>
    <row r="559" ht="14.75" customHeight="1" s="2"/>
    <row r="560" ht="14.75" customHeight="1" s="2"/>
    <row r="561" ht="14.75" customHeight="1" s="2"/>
    <row r="562" ht="14.75" customHeight="1" s="2"/>
    <row r="563" ht="14.75" customHeight="1" s="2"/>
    <row r="564" ht="14.75" customHeight="1" s="2"/>
    <row r="565" ht="14.75" customHeight="1" s="2"/>
    <row r="566" ht="14.75" customHeight="1" s="2"/>
    <row r="567" ht="14.75" customHeight="1" s="2"/>
    <row r="568" ht="14.75" customHeight="1" s="2"/>
    <row r="569" ht="14.75" customHeight="1" s="2"/>
    <row r="570" ht="14.75" customHeight="1" s="2"/>
    <row r="571" ht="14.75" customHeight="1" s="2"/>
    <row r="572" ht="14.75" customHeight="1" s="2"/>
    <row r="573" ht="14.75" customHeight="1" s="2"/>
    <row r="574" ht="14.75" customHeight="1" s="2"/>
    <row r="575" ht="14.75" customHeight="1" s="2"/>
    <row r="576" ht="14.75" customHeight="1" s="2"/>
    <row r="577" ht="14.75" customHeight="1" s="2"/>
    <row r="578" ht="14.75" customHeight="1" s="2"/>
    <row r="579" ht="14.75" customHeight="1" s="2"/>
    <row r="580" ht="14.75" customHeight="1" s="2"/>
    <row r="581" ht="14.75" customHeight="1" s="2"/>
    <row r="582" ht="14.75" customHeight="1" s="2"/>
    <row r="583" ht="14.75" customHeight="1" s="2"/>
    <row r="584" ht="14.75" customHeight="1" s="2"/>
    <row r="585" ht="14.75" customHeight="1" s="2"/>
    <row r="586" ht="14.75" customHeight="1" s="2"/>
    <row r="587" ht="14.75" customHeight="1" s="2"/>
    <row r="588" ht="14.75" customHeight="1" s="2"/>
    <row r="589" ht="14.75" customHeight="1" s="2"/>
    <row r="590" ht="14.75" customHeight="1" s="2"/>
    <row r="591" ht="14.75" customHeight="1" s="2"/>
    <row r="592" ht="14.75" customHeight="1" s="2"/>
    <row r="593" ht="14.75" customHeight="1" s="2"/>
    <row r="594" ht="14.75" customHeight="1" s="2"/>
    <row r="595" ht="14.75" customHeight="1" s="2"/>
    <row r="596" ht="14.75" customHeight="1" s="2"/>
    <row r="597" ht="14.75" customHeight="1" s="2"/>
    <row r="598" ht="14.75" customHeight="1" s="2"/>
    <row r="599" ht="14.75" customHeight="1" s="2"/>
    <row r="600" ht="14.75" customHeight="1" s="2"/>
    <row r="601" ht="14.75" customHeight="1" s="2"/>
    <row r="602" ht="14.75" customHeight="1" s="2"/>
    <row r="603" ht="14.75" customHeight="1" s="2"/>
    <row r="604" ht="14.75" customHeight="1" s="2"/>
    <row r="605" ht="14.75" customHeight="1" s="2"/>
    <row r="606" ht="14.75" customHeight="1" s="2"/>
    <row r="607" ht="14.75" customHeight="1" s="2"/>
    <row r="608" ht="14.75" customHeight="1" s="2"/>
    <row r="609" ht="14.75" customHeight="1" s="2"/>
    <row r="610" ht="14.75" customHeight="1" s="2"/>
    <row r="611" ht="14.75" customHeight="1" s="2"/>
    <row r="612" ht="14.75" customHeight="1" s="2"/>
    <row r="613" ht="14.75" customHeight="1" s="2"/>
    <row r="614" ht="14.75" customHeight="1" s="2"/>
    <row r="615" ht="14.75" customHeight="1" s="2"/>
    <row r="616" ht="14.75" customHeight="1" s="2"/>
    <row r="617" ht="14.75" customHeight="1" s="2"/>
    <row r="618" ht="14.75" customHeight="1" s="2"/>
    <row r="619" ht="14.75" customHeight="1" s="2"/>
    <row r="620" ht="14.75" customHeight="1" s="2"/>
    <row r="621" ht="14.75" customHeight="1" s="2"/>
    <row r="622" ht="14.75" customHeight="1" s="2"/>
    <row r="623" ht="14.75" customHeight="1" s="2"/>
    <row r="624" ht="14.75" customHeight="1" s="2"/>
    <row r="625" ht="14.75" customHeight="1" s="2"/>
    <row r="626" ht="14.75" customHeight="1" s="2"/>
    <row r="627" ht="14.75" customHeight="1" s="2"/>
    <row r="628" ht="14.75" customHeight="1" s="2"/>
    <row r="629" ht="14.75" customHeight="1" s="2"/>
    <row r="630" ht="14.75" customHeight="1" s="2"/>
    <row r="631" ht="14.75" customHeight="1" s="2"/>
    <row r="632" ht="14.75" customHeight="1" s="2"/>
    <row r="633" ht="14.75" customHeight="1" s="2"/>
    <row r="634" ht="14.75" customHeight="1" s="2"/>
    <row r="635" ht="14.75" customHeight="1" s="2"/>
    <row r="636" ht="14.75" customHeight="1" s="2"/>
    <row r="637" ht="14.75" customHeight="1" s="2"/>
    <row r="638" ht="14.75" customHeight="1" s="2"/>
    <row r="639" ht="14.75" customHeight="1" s="2"/>
    <row r="640" ht="14.75" customHeight="1" s="2"/>
    <row r="641" ht="14.75" customHeight="1" s="2"/>
    <row r="642" ht="14.75" customHeight="1" s="2"/>
    <row r="643" ht="14.75" customHeight="1" s="2"/>
    <row r="644" ht="14.75" customHeight="1" s="2"/>
    <row r="645" ht="14.75" customHeight="1" s="2"/>
    <row r="646" ht="14.75" customHeight="1" s="2"/>
    <row r="647" ht="14.75" customHeight="1" s="2"/>
    <row r="648" ht="14.75" customHeight="1" s="2"/>
    <row r="649" ht="14.75" customHeight="1" s="2"/>
    <row r="650" ht="14.75" customHeight="1" s="2"/>
    <row r="651" ht="14.75" customHeight="1" s="2"/>
    <row r="652" ht="14.75" customHeight="1" s="2"/>
    <row r="653" ht="14.75" customHeight="1" s="2"/>
    <row r="654" ht="14.75" customHeight="1" s="2"/>
    <row r="655" ht="14.75" customHeight="1" s="2"/>
    <row r="656" ht="14.75" customHeight="1" s="2"/>
    <row r="657" ht="14.75" customHeight="1" s="2"/>
    <row r="658" ht="14.75" customHeight="1" s="2"/>
    <row r="659" ht="14.75" customHeight="1" s="2"/>
    <row r="660" ht="14.75" customHeight="1" s="2"/>
    <row r="661" ht="14.75" customHeight="1" s="2"/>
    <row r="662" ht="14.75" customHeight="1" s="2"/>
    <row r="663" ht="14.75" customHeight="1" s="2"/>
    <row r="664" ht="14.75" customHeight="1" s="2"/>
    <row r="665" ht="14.75" customHeight="1" s="2"/>
    <row r="666" ht="14.75" customHeight="1" s="2"/>
    <row r="667" ht="14.75" customHeight="1" s="2"/>
    <row r="668" ht="14.75" customHeight="1" s="2"/>
    <row r="669" ht="14.75" customHeight="1" s="2"/>
    <row r="670" ht="14.75" customHeight="1" s="2"/>
    <row r="671" ht="14.75" customHeight="1" s="2"/>
    <row r="672" ht="14.75" customHeight="1" s="2"/>
    <row r="673" ht="14.75" customHeight="1" s="2"/>
    <row r="674" ht="14.75" customHeight="1" s="2"/>
    <row r="675" ht="14.75" customHeight="1" s="2"/>
    <row r="676" ht="14.75" customHeight="1" s="2"/>
    <row r="677" ht="14.75" customHeight="1" s="2"/>
    <row r="678" ht="14.75" customHeight="1" s="2"/>
    <row r="679" ht="14.75" customHeight="1" s="2"/>
    <row r="680" ht="14.75" customHeight="1" s="2"/>
    <row r="681" ht="14.75" customHeight="1" s="2"/>
    <row r="682" ht="14.75" customHeight="1" s="2"/>
    <row r="683" ht="14.75" customHeight="1" s="2"/>
    <row r="684" ht="14.75" customHeight="1" s="2"/>
    <row r="685" ht="14.75" customHeight="1" s="2"/>
    <row r="686" ht="14.75" customHeight="1" s="2"/>
    <row r="687" ht="14.75" customHeight="1" s="2"/>
    <row r="688" ht="14.75" customHeight="1" s="2"/>
    <row r="689" ht="14.75" customHeight="1" s="2"/>
    <row r="690" ht="14.75" customHeight="1" s="2"/>
    <row r="691" ht="14.75" customHeight="1" s="2"/>
    <row r="692" ht="14.75" customHeight="1" s="2"/>
    <row r="693" ht="14.75" customHeight="1" s="2"/>
    <row r="694" ht="14.75" customHeight="1" s="2"/>
    <row r="695" ht="14.75" customHeight="1" s="2"/>
    <row r="696" ht="14.75" customHeight="1" s="2"/>
    <row r="697" ht="14.75" customHeight="1" s="2"/>
    <row r="698" ht="14.75" customHeight="1" s="2"/>
    <row r="699" ht="14.75" customHeight="1" s="2"/>
    <row r="700" ht="14.75" customHeight="1" s="2"/>
    <row r="701" ht="14.75" customHeight="1" s="2"/>
    <row r="702" ht="14.75" customHeight="1" s="2"/>
    <row r="703" ht="14.75" customHeight="1" s="2"/>
    <row r="704" ht="14.75" customHeight="1" s="2"/>
    <row r="705" ht="14.75" customHeight="1" s="2"/>
    <row r="706" ht="14.75" customHeight="1" s="2"/>
    <row r="707" ht="14.75" customHeight="1" s="2"/>
    <row r="708" ht="14.75" customHeight="1" s="2"/>
    <row r="709" ht="14.75" customHeight="1" s="2"/>
    <row r="710" ht="14.75" customHeight="1" s="2"/>
    <row r="711" ht="14.75" customHeight="1" s="2"/>
    <row r="712" ht="14.75" customHeight="1" s="2"/>
    <row r="713" ht="14.75" customHeight="1" s="2"/>
    <row r="714" ht="14.75" customHeight="1" s="2"/>
    <row r="715" ht="14.75" customHeight="1" s="2"/>
    <row r="716" ht="14.75" customHeight="1" s="2"/>
    <row r="717" ht="14.75" customHeight="1" s="2"/>
    <row r="718" ht="14.75" customHeight="1" s="2"/>
    <row r="719" ht="14.75" customHeight="1" s="2"/>
    <row r="720" ht="14.75" customHeight="1" s="2"/>
    <row r="721" ht="14.75" customHeight="1" s="2"/>
    <row r="722" ht="14.75" customHeight="1" s="2"/>
    <row r="723" ht="14.75" customHeight="1" s="2"/>
    <row r="724" ht="14.75" customHeight="1" s="2"/>
    <row r="725" ht="14.75" customHeight="1" s="2"/>
    <row r="726" ht="14.75" customHeight="1" s="2"/>
    <row r="727" ht="14.75" customHeight="1" s="2"/>
    <row r="728" ht="14.75" customHeight="1" s="2"/>
    <row r="729" ht="14.75" customHeight="1" s="2"/>
    <row r="730" ht="14.75" customHeight="1" s="2"/>
    <row r="731" ht="14.75" customHeight="1" s="2"/>
    <row r="732" ht="14.75" customHeight="1" s="2"/>
    <row r="733" ht="14.75" customHeight="1" s="2"/>
    <row r="734" ht="14.75" customHeight="1" s="2"/>
    <row r="735" ht="14.75" customHeight="1" s="2"/>
    <row r="736" ht="14.75" customHeight="1" s="2"/>
    <row r="737" ht="14.75" customHeight="1" s="2"/>
    <row r="738" ht="14.75" customHeight="1" s="2"/>
    <row r="739" ht="14.75" customHeight="1" s="2"/>
    <row r="740" ht="14.75" customHeight="1" s="2"/>
    <row r="741" ht="14.75" customHeight="1" s="2"/>
    <row r="742" ht="14.75" customHeight="1" s="2"/>
    <row r="743" ht="14.75" customHeight="1" s="2"/>
    <row r="744" ht="14.75" customHeight="1" s="2"/>
    <row r="745" ht="14.75" customHeight="1" s="2"/>
    <row r="746" ht="14.75" customHeight="1" s="2"/>
    <row r="747" ht="14.75" customHeight="1" s="2"/>
    <row r="748" ht="14.75" customHeight="1" s="2"/>
    <row r="749" ht="14.75" customHeight="1" s="2"/>
    <row r="750" ht="14.75" customHeight="1" s="2"/>
    <row r="751" ht="14.75" customHeight="1" s="2"/>
    <row r="752" ht="14.75" customHeight="1" s="2"/>
    <row r="753" ht="14.75" customHeight="1" s="2"/>
    <row r="754" ht="14.75" customHeight="1" s="2"/>
    <row r="755" ht="14.75" customHeight="1" s="2"/>
    <row r="756" ht="14.75" customHeight="1" s="2"/>
    <row r="757" ht="14.75" customHeight="1" s="2"/>
    <row r="758" ht="14.75" customHeight="1" s="2"/>
    <row r="759" ht="14.75" customHeight="1" s="2"/>
    <row r="760" ht="14.75" customHeight="1" s="2"/>
    <row r="761" ht="14.75" customHeight="1" s="2"/>
    <row r="762" ht="14.75" customHeight="1" s="2"/>
    <row r="763" ht="14.75" customHeight="1" s="2"/>
    <row r="764" ht="14.75" customHeight="1" s="2"/>
    <row r="765" ht="14.75" customHeight="1" s="2"/>
    <row r="766" ht="14.75" customHeight="1" s="2"/>
    <row r="767" ht="14.75" customHeight="1" s="2"/>
    <row r="768" ht="14.75" customHeight="1" s="2"/>
    <row r="769" ht="14.75" customHeight="1" s="2"/>
    <row r="770" ht="14.75" customHeight="1" s="2"/>
    <row r="771" ht="14.75" customHeight="1" s="2"/>
    <row r="772" ht="14.75" customHeight="1" s="2"/>
    <row r="773" ht="14.75" customHeight="1" s="2"/>
    <row r="774" ht="14.75" customHeight="1" s="2"/>
    <row r="775" ht="14.75" customHeight="1" s="2"/>
    <row r="776" ht="14.75" customHeight="1" s="2"/>
    <row r="777" ht="14.75" customHeight="1" s="2"/>
    <row r="778" ht="14.75" customHeight="1" s="2"/>
    <row r="779" ht="14.75" customHeight="1" s="2"/>
    <row r="780" ht="14.75" customHeight="1" s="2"/>
    <row r="781" ht="14.75" customHeight="1" s="2"/>
    <row r="782" ht="14.75" customHeight="1" s="2"/>
    <row r="783" ht="14.75" customHeight="1" s="2"/>
    <row r="784" ht="14.75" customHeight="1" s="2"/>
    <row r="785" ht="14.75" customHeight="1" s="2"/>
    <row r="786" ht="14.75" customHeight="1" s="2"/>
    <row r="787" ht="14.75" customHeight="1" s="2"/>
    <row r="788" ht="14.75" customHeight="1" s="2"/>
    <row r="789" ht="14.75" customHeight="1" s="2"/>
    <row r="790" ht="14.75" customHeight="1" s="2"/>
    <row r="791" ht="14.75" customHeight="1" s="2"/>
    <row r="792" ht="14.75" customHeight="1" s="2"/>
    <row r="793" ht="14.75" customHeight="1" s="2"/>
    <row r="794" ht="14.75" customHeight="1" s="2"/>
    <row r="795" ht="14.75" customHeight="1" s="2"/>
    <row r="796" ht="14.75" customHeight="1" s="2"/>
    <row r="797" ht="14.75" customHeight="1" s="2"/>
    <row r="798" ht="14.75" customHeight="1" s="2"/>
    <row r="799" ht="14.75" customHeight="1" s="2"/>
    <row r="800" ht="14.75" customHeight="1" s="2"/>
    <row r="801" ht="14.75" customHeight="1" s="2"/>
    <row r="802" ht="14.75" customHeight="1" s="2"/>
    <row r="803" ht="14.75" customHeight="1" s="2"/>
    <row r="804" ht="14.75" customHeight="1" s="2"/>
    <row r="805" ht="14.75" customHeight="1" s="2"/>
    <row r="806" ht="14.75" customHeight="1" s="2"/>
    <row r="807" ht="14.75" customHeight="1" s="2"/>
    <row r="808" ht="14.75" customHeight="1" s="2"/>
    <row r="809" ht="14.75" customHeight="1" s="2"/>
    <row r="810" ht="14.75" customHeight="1" s="2"/>
    <row r="811" ht="14.75" customHeight="1" s="2"/>
    <row r="812" ht="14.75" customHeight="1" s="2"/>
    <row r="813" ht="14.75" customHeight="1" s="2"/>
    <row r="814" ht="14.75" customHeight="1" s="2"/>
    <row r="815" ht="14.75" customHeight="1" s="2"/>
    <row r="816" ht="14.75" customHeight="1" s="2"/>
    <row r="817" ht="14.75" customHeight="1" s="2"/>
    <row r="818" ht="14.75" customHeight="1" s="2"/>
    <row r="819" ht="14.75" customHeight="1" s="2"/>
    <row r="820" ht="14.75" customHeight="1" s="2"/>
    <row r="821" ht="14.75" customHeight="1" s="2"/>
    <row r="822" ht="14.75" customHeight="1" s="2"/>
    <row r="823" ht="14.75" customHeight="1" s="2"/>
    <row r="824" ht="14.75" customHeight="1" s="2"/>
    <row r="825" ht="14.75" customHeight="1" s="2"/>
    <row r="826" ht="14.75" customHeight="1" s="2"/>
    <row r="827" ht="14.75" customHeight="1" s="2"/>
    <row r="828" ht="14.75" customHeight="1" s="2"/>
    <row r="829" ht="14.75" customHeight="1" s="2"/>
    <row r="830" ht="14.75" customHeight="1" s="2"/>
    <row r="831" ht="14.75" customHeight="1" s="2"/>
    <row r="832" ht="14.75" customHeight="1" s="2"/>
    <row r="833" ht="14.75" customHeight="1" s="2"/>
    <row r="834" ht="14.75" customHeight="1" s="2"/>
    <row r="835" ht="14.75" customHeight="1" s="2"/>
    <row r="836" ht="14.75" customHeight="1" s="2"/>
    <row r="837" ht="14.75" customHeight="1" s="2"/>
    <row r="838" ht="14.75" customHeight="1" s="2"/>
    <row r="839" ht="14.75" customHeight="1" s="2"/>
    <row r="840" ht="14.75" customHeight="1" s="2"/>
    <row r="841" ht="14.75" customHeight="1" s="2"/>
    <row r="842" ht="14.75" customHeight="1" s="2"/>
    <row r="843" ht="14.75" customHeight="1" s="2"/>
    <row r="844" ht="14.75" customHeight="1" s="2"/>
    <row r="845" ht="14.75" customHeight="1" s="2"/>
    <row r="846" ht="14.75" customHeight="1" s="2"/>
    <row r="847" ht="14.75" customHeight="1" s="2"/>
    <row r="848" ht="14.75" customHeight="1" s="2"/>
    <row r="849" ht="14.75" customHeight="1" s="2"/>
    <row r="850" ht="14.75" customHeight="1" s="2"/>
    <row r="851" ht="14.75" customHeight="1" s="2"/>
    <row r="852" ht="14.75" customHeight="1" s="2"/>
    <row r="853" ht="14.75" customHeight="1" s="2"/>
    <row r="854" ht="14.75" customHeight="1" s="2"/>
    <row r="855" ht="14.75" customHeight="1" s="2"/>
    <row r="856" ht="14.75" customHeight="1" s="2"/>
    <row r="857" ht="14.75" customHeight="1" s="2"/>
    <row r="858" ht="14.75" customHeight="1" s="2"/>
    <row r="859" ht="14.75" customHeight="1" s="2"/>
    <row r="860" ht="14.75" customHeight="1" s="2"/>
    <row r="861" ht="14.75" customHeight="1" s="2"/>
    <row r="862" ht="14.75" customHeight="1" s="2"/>
    <row r="863" ht="14.75" customHeight="1" s="2"/>
    <row r="864" ht="14.75" customHeight="1" s="2"/>
    <row r="865" ht="14.75" customHeight="1" s="2"/>
    <row r="866" ht="14.75" customHeight="1" s="2"/>
    <row r="867" ht="14.75" customHeight="1" s="2"/>
    <row r="868" ht="14.75" customHeight="1" s="2"/>
    <row r="869" ht="14.75" customHeight="1" s="2"/>
    <row r="870" ht="14.75" customHeight="1" s="2"/>
    <row r="871" ht="14.75" customHeight="1" s="2"/>
    <row r="872" ht="14.75" customHeight="1" s="2"/>
    <row r="873" ht="14.75" customHeight="1" s="2"/>
    <row r="874" ht="14.75" customHeight="1" s="2"/>
    <row r="875" ht="14.75" customHeight="1" s="2"/>
    <row r="876" ht="14.75" customHeight="1" s="2"/>
    <row r="877" ht="14.75" customHeight="1" s="2"/>
    <row r="878" ht="14.75" customHeight="1" s="2"/>
    <row r="879" ht="14.75" customHeight="1" s="2"/>
    <row r="880" ht="14.75" customHeight="1" s="2"/>
    <row r="881" ht="14.75" customHeight="1" s="2"/>
    <row r="882" ht="14.75" customHeight="1" s="2"/>
    <row r="883" ht="14.75" customHeight="1" s="2"/>
    <row r="884" ht="14.75" customHeight="1" s="2"/>
    <row r="885" ht="14.75" customHeight="1" s="2"/>
    <row r="886" ht="14.75" customHeight="1" s="2"/>
    <row r="887" ht="14.75" customHeight="1" s="2"/>
    <row r="888" ht="14.75" customHeight="1" s="2"/>
    <row r="889" ht="14.75" customHeight="1" s="2"/>
    <row r="890" ht="14.75" customHeight="1" s="2"/>
    <row r="891" ht="14.75" customHeight="1" s="2"/>
    <row r="892" ht="14.75" customHeight="1" s="2"/>
    <row r="893" ht="14.75" customHeight="1" s="2"/>
    <row r="894" ht="14.75" customHeight="1" s="2"/>
    <row r="895" ht="14.75" customHeight="1" s="2"/>
    <row r="896" ht="14.75" customHeight="1" s="2"/>
    <row r="897" ht="14.75" customHeight="1" s="2"/>
    <row r="898" ht="14.75" customHeight="1" s="2"/>
    <row r="899" ht="14.75" customHeight="1" s="2"/>
    <row r="900" ht="14.75" customHeight="1" s="2"/>
    <row r="901" ht="14.75" customHeight="1" s="2"/>
    <row r="902" ht="14.75" customHeight="1" s="2"/>
    <row r="903" ht="14.75" customHeight="1" s="2"/>
    <row r="904" ht="14.75" customHeight="1" s="2"/>
    <row r="905" ht="14.75" customHeight="1" s="2"/>
    <row r="906" ht="14.75" customHeight="1" s="2"/>
    <row r="907" ht="14.75" customHeight="1" s="2"/>
    <row r="908" ht="14.75" customHeight="1" s="2"/>
    <row r="909" ht="14.75" customHeight="1" s="2"/>
    <row r="910" ht="14.75" customHeight="1" s="2"/>
    <row r="911" ht="14.75" customHeight="1" s="2"/>
    <row r="912" ht="14.75" customHeight="1" s="2"/>
    <row r="913" ht="14.75" customHeight="1" s="2"/>
    <row r="914" ht="14.75" customHeight="1" s="2"/>
    <row r="915" ht="14.75" customHeight="1" s="2"/>
    <row r="916" ht="14.75" customHeight="1" s="2"/>
    <row r="917" ht="14.75" customHeight="1" s="2"/>
    <row r="918" ht="14.75" customHeight="1" s="2"/>
    <row r="919" ht="14.75" customHeight="1" s="2"/>
    <row r="920" ht="14.75" customHeight="1" s="2"/>
    <row r="921" ht="14.75" customHeight="1" s="2"/>
    <row r="922" ht="14.75" customHeight="1" s="2"/>
    <row r="923" ht="14.75" customHeight="1" s="2"/>
    <row r="924" ht="14.75" customHeight="1" s="2"/>
    <row r="925" ht="14.75" customHeight="1" s="2"/>
    <row r="926" ht="14.75" customHeight="1" s="2"/>
    <row r="927" ht="14.75" customHeight="1" s="2"/>
    <row r="928" ht="14.75" customHeight="1" s="2"/>
    <row r="929" ht="14.75" customHeight="1" s="2"/>
    <row r="930" ht="14.75" customHeight="1" s="2"/>
    <row r="931" ht="14.75" customHeight="1" s="2"/>
    <row r="932" ht="14.75" customHeight="1" s="2"/>
    <row r="933" ht="14.75" customHeight="1" s="2"/>
    <row r="934" ht="14.75" customHeight="1" s="2"/>
    <row r="935" ht="14.75" customHeight="1" s="2"/>
    <row r="936" ht="14.75" customHeight="1" s="2"/>
    <row r="937" ht="14.75" customHeight="1" s="2"/>
    <row r="938" ht="14.75" customHeight="1" s="2"/>
    <row r="939" ht="14.75" customHeight="1" s="2"/>
    <row r="940" ht="14.75" customHeight="1" s="2"/>
    <row r="941" ht="14.75" customHeight="1" s="2"/>
    <row r="942" ht="14.75" customHeight="1" s="2"/>
    <row r="943" ht="14.75" customHeight="1" s="2"/>
    <row r="944" ht="14.75" customHeight="1" s="2"/>
    <row r="945" ht="14.75" customHeight="1" s="2"/>
    <row r="946" ht="14.75" customHeight="1" s="2"/>
    <row r="947" ht="14.75" customHeight="1" s="2"/>
    <row r="948" ht="14.75" customHeight="1" s="2"/>
    <row r="949" ht="14.75" customHeight="1" s="2"/>
    <row r="950" ht="14.75" customHeight="1" s="2"/>
    <row r="951" ht="14.75" customHeight="1" s="2"/>
    <row r="952" ht="14.75" customHeight="1" s="2"/>
    <row r="953" ht="14.75" customHeight="1" s="2"/>
    <row r="954" ht="14.75" customHeight="1" s="2"/>
    <row r="955" ht="14.75" customHeight="1" s="2"/>
    <row r="956" ht="14.75" customHeight="1" s="2"/>
    <row r="957" ht="14.75" customHeight="1" s="2"/>
    <row r="958" ht="14.75" customHeight="1" s="2"/>
    <row r="959" ht="14.75" customHeight="1" s="2"/>
    <row r="960" ht="14.75" customHeight="1" s="2"/>
    <row r="961" ht="14.75" customHeight="1" s="2"/>
    <row r="962" ht="14.75" customHeight="1" s="2"/>
    <row r="963" ht="14.75" customHeight="1" s="2"/>
    <row r="964" ht="14.75" customHeight="1" s="2"/>
    <row r="965" ht="14.75" customHeight="1" s="2"/>
    <row r="966" ht="14.75" customHeight="1" s="2"/>
    <row r="967" ht="14.75" customHeight="1" s="2"/>
    <row r="968" ht="14.75" customHeight="1" s="2"/>
    <row r="969" ht="14.75" customHeight="1" s="2"/>
    <row r="970" ht="14.75" customHeight="1" s="2"/>
    <row r="971" ht="14.75" customHeight="1" s="2"/>
    <row r="972" ht="14.75" customHeight="1" s="2"/>
    <row r="973" ht="14.75" customHeight="1" s="2"/>
    <row r="974" ht="14.75" customHeight="1" s="2"/>
    <row r="975" ht="14.75" customHeight="1" s="2"/>
    <row r="976" ht="14.75" customHeight="1" s="2"/>
    <row r="977" ht="14.75" customHeight="1" s="2"/>
    <row r="978" ht="14.75" customHeight="1" s="2"/>
    <row r="979" ht="14.75" customHeight="1" s="2"/>
    <row r="980" ht="14.75" customHeight="1" s="2"/>
    <row r="981" ht="14.75" customHeight="1" s="2"/>
    <row r="982" ht="14.75" customHeight="1" s="2"/>
    <row r="983" ht="14.75" customHeight="1" s="2"/>
    <row r="984" ht="14.75" customHeight="1" s="2"/>
    <row r="985" ht="14.75" customHeight="1" s="2"/>
    <row r="986" ht="14.75" customHeight="1" s="2"/>
    <row r="987" ht="14.75" customHeight="1" s="2"/>
    <row r="988" ht="14.75" customHeight="1" s="2"/>
    <row r="989" ht="14.75" customHeight="1" s="2"/>
    <row r="990" ht="14.75" customHeight="1" s="2"/>
    <row r="991" ht="14.75" customHeight="1" s="2"/>
    <row r="992" ht="14.75" customHeight="1" s="2"/>
    <row r="993" ht="14.75" customHeight="1" s="2"/>
    <row r="994" ht="14.75" customHeight="1" s="2"/>
    <row r="995" ht="14.75" customHeight="1" s="2"/>
    <row r="996" ht="14.75" customHeight="1" s="2"/>
    <row r="997" ht="14.75" customHeight="1" s="2"/>
    <row r="998" ht="14.75" customHeight="1" s="2"/>
    <row r="999" ht="14.75" customHeight="1" s="2"/>
    <row r="1000" ht="14.75" customHeight="1" s="2"/>
    <row r="1001" ht="14.75" customHeight="1" s="2"/>
    <row r="1002" ht="14.75" customHeight="1" s="2"/>
    <row r="1003" ht="14.75" customHeight="1" s="2"/>
    <row r="1004" ht="14.75" customHeight="1" s="2"/>
    <row r="1005" ht="14.75" customHeight="1" s="2"/>
    <row r="1006" ht="14.75" customHeight="1" s="2"/>
    <row r="1007" ht="14.75" customHeight="1" s="2"/>
    <row r="1008" ht="14.75" customHeight="1" s="2"/>
    <row r="1009" ht="14.75" customHeight="1" s="2"/>
    <row r="1010" ht="14.75" customHeight="1" s="2"/>
    <row r="1011" ht="14.75" customHeight="1" s="2"/>
    <row r="1012" ht="14.75" customHeight="1" s="2"/>
    <row r="1013" ht="14.75" customHeight="1" s="2"/>
    <row r="1014" ht="14.75" customHeight="1" s="2"/>
    <row r="1015" ht="14.75" customHeight="1" s="2"/>
    <row r="1016" ht="14.75" customHeight="1" s="2"/>
    <row r="1017" ht="14.75" customHeight="1" s="2"/>
    <row r="1018" ht="14.75" customHeight="1" s="2"/>
    <row r="1019" ht="14.75" customHeight="1" s="2"/>
    <row r="1020" ht="14.75" customHeight="1" s="2"/>
    <row r="1021" ht="14.75" customHeight="1" s="2"/>
    <row r="1022" ht="14.75" customHeight="1" s="2"/>
    <row r="1023" ht="14.75" customHeight="1" s="2"/>
    <row r="1024" ht="14.75" customHeight="1" s="2"/>
    <row r="1025" ht="14.75" customHeight="1" s="2"/>
    <row r="1026" ht="14.75" customHeight="1" s="2"/>
    <row r="1027" ht="14.75" customHeight="1" s="2"/>
    <row r="1028" ht="14.75" customHeight="1" s="2"/>
    <row r="1029" ht="14.75" customHeight="1" s="2"/>
    <row r="1030" ht="14.75" customHeight="1" s="2"/>
    <row r="1031" ht="14.75" customHeight="1" s="2"/>
    <row r="1032" ht="14.75" customHeight="1" s="2"/>
    <row r="1033" ht="14.75" customHeight="1" s="2"/>
    <row r="1034" ht="14.75" customHeight="1" s="2"/>
    <row r="1035" ht="14.75" customHeight="1" s="2"/>
    <row r="1036" ht="14.75" customHeight="1" s="2"/>
    <row r="1037" ht="14.75" customHeight="1" s="2"/>
    <row r="1038" ht="14.75" customHeight="1" s="2"/>
    <row r="1039" ht="14.75" customHeight="1" s="2"/>
    <row r="1040" ht="14.75" customHeight="1" s="2"/>
    <row r="1041" ht="14.75" customHeight="1" s="2"/>
    <row r="1042" ht="14.75" customHeight="1" s="2"/>
    <row r="1043" ht="14.75" customHeight="1" s="2"/>
    <row r="1044" ht="14.75" customHeight="1" s="2"/>
    <row r="1045" ht="14.75" customHeight="1" s="2"/>
    <row r="1046" ht="14.75" customHeight="1" s="2"/>
    <row r="1047" ht="14.75" customHeight="1" s="2"/>
    <row r="1048" ht="14.75" customHeight="1" s="2"/>
    <row r="1049" ht="14.75" customHeight="1" s="2"/>
    <row r="1050" ht="14.75" customHeight="1" s="2"/>
    <row r="1051" ht="14.75" customHeight="1" s="2"/>
    <row r="1052" ht="14.75" customHeight="1" s="2"/>
    <row r="1053" ht="14.75" customHeight="1" s="2"/>
    <row r="1054" ht="14.75" customHeight="1" s="2"/>
    <row r="1055" ht="14.75" customHeight="1" s="2"/>
    <row r="1056" ht="14.75" customHeight="1" s="2"/>
    <row r="1057" ht="14.75" customHeight="1" s="2"/>
    <row r="1058" ht="14.75" customHeight="1" s="2"/>
    <row r="1059" ht="14.75" customHeight="1" s="2"/>
    <row r="1060" ht="14.75" customHeight="1" s="2"/>
    <row r="1061" ht="14.75" customHeight="1" s="2"/>
    <row r="1062" ht="14.75" customHeight="1" s="2"/>
    <row r="1063" ht="14.75" customHeight="1" s="2"/>
    <row r="1064" ht="14.75" customHeight="1" s="2"/>
    <row r="1065" ht="14.75" customHeight="1" s="2"/>
    <row r="1066" ht="14.75" customHeight="1" s="2"/>
    <row r="1067" ht="14.75" customHeight="1" s="2"/>
    <row r="1068" ht="14.75" customHeight="1" s="2"/>
    <row r="1069" ht="14.75" customHeight="1" s="2"/>
    <row r="1070" ht="14.75" customHeight="1" s="2"/>
    <row r="1071" ht="14.75" customHeight="1" s="2"/>
    <row r="1072" ht="14.75" customHeight="1" s="2"/>
    <row r="1073" ht="14.75" customHeight="1" s="2"/>
    <row r="1074" ht="14.75" customHeight="1" s="2"/>
    <row r="1075" ht="14.75" customHeight="1" s="2"/>
    <row r="1076" ht="14.75" customHeight="1" s="2"/>
    <row r="1077" ht="14.75" customHeight="1" s="2"/>
    <row r="1078" ht="14.75" customHeight="1" s="2"/>
    <row r="1079" ht="14.75" customHeight="1" s="2"/>
    <row r="1080" ht="14.75" customHeight="1" s="2"/>
    <row r="1081" ht="14.75" customHeight="1" s="2"/>
    <row r="1082" ht="14.75" customHeight="1" s="2"/>
    <row r="1083" ht="14.75" customHeight="1" s="2"/>
    <row r="1084" ht="14.75" customHeight="1" s="2"/>
    <row r="1085" ht="14.75" customHeight="1" s="2"/>
    <row r="1086" ht="14.75" customHeight="1" s="2"/>
    <row r="1087" ht="14.75" customHeight="1" s="2"/>
    <row r="1088" ht="14.75" customHeight="1" s="2"/>
    <row r="1089" ht="14.75" customHeight="1" s="2"/>
    <row r="1090" ht="14.75" customHeight="1" s="2"/>
    <row r="1091" ht="14.75" customHeight="1" s="2"/>
    <row r="1092" ht="14.75" customHeight="1" s="2"/>
    <row r="1093" ht="14.75" customHeight="1" s="2"/>
    <row r="1094" ht="14.75" customHeight="1" s="2"/>
    <row r="1095" ht="14.75" customHeight="1" s="2"/>
    <row r="1096" ht="14.75" customHeight="1" s="2"/>
    <row r="1097" ht="14.75" customHeight="1" s="2"/>
    <row r="1098" ht="14.75" customHeight="1" s="2"/>
    <row r="1099" ht="14.75" customHeight="1" s="2"/>
    <row r="1100" ht="14.75" customHeight="1" s="2"/>
    <row r="1101" ht="14.75" customHeight="1" s="2"/>
    <row r="1102" ht="14.75" customHeight="1" s="2"/>
    <row r="1103" ht="14.75" customHeight="1" s="2"/>
    <row r="1104" ht="14.75" customHeight="1" s="2"/>
    <row r="1105" ht="14.75" customHeight="1" s="2"/>
    <row r="1106" ht="14.75" customHeight="1" s="2"/>
    <row r="1107" ht="14.75" customHeight="1" s="2"/>
    <row r="1108" ht="14.75" customHeight="1" s="2"/>
    <row r="1109" ht="14.75" customHeight="1" s="2"/>
    <row r="1110" ht="14.75" customHeight="1" s="2"/>
    <row r="1111" ht="14.75" customHeight="1" s="2"/>
    <row r="1112" ht="14.75" customHeight="1" s="2"/>
    <row r="1113" ht="14.75" customHeight="1" s="2"/>
    <row r="1114" ht="14.75" customHeight="1" s="2"/>
    <row r="1115" ht="14.75" customHeight="1" s="2"/>
    <row r="1116" ht="14.75" customHeight="1" s="2"/>
    <row r="1117" ht="14.75" customHeight="1" s="2"/>
    <row r="1118" ht="14.75" customHeight="1" s="2"/>
    <row r="1119" ht="14.75" customHeight="1" s="2"/>
    <row r="1120" ht="14.75" customHeight="1" s="2"/>
    <row r="1121" ht="14.75" customHeight="1" s="2"/>
    <row r="1122" ht="14.75" customHeight="1" s="2"/>
    <row r="1123" ht="14.75" customHeight="1" s="2"/>
    <row r="1124" ht="14.75" customHeight="1" s="2"/>
    <row r="1125" ht="14.75" customHeight="1" s="2"/>
    <row r="1126" ht="14.75" customHeight="1" s="2"/>
    <row r="1127" ht="14.75" customHeight="1" s="2"/>
    <row r="1128" ht="14.75" customHeight="1" s="2"/>
    <row r="1129" ht="14.75" customHeight="1" s="2"/>
    <row r="1130" ht="14.75" customHeight="1" s="2"/>
    <row r="1131" ht="14.75" customHeight="1" s="2"/>
    <row r="1132" ht="14.75" customHeight="1" s="2"/>
    <row r="1133" ht="14.75" customHeight="1" s="2"/>
    <row r="1134" ht="14.75" customHeight="1" s="2"/>
    <row r="1135" ht="14.75" customHeight="1" s="2"/>
    <row r="1136" ht="14.75" customHeight="1" s="2"/>
    <row r="1137" ht="14.75" customHeight="1" s="2"/>
    <row r="1138" ht="14.75" customHeight="1" s="2"/>
    <row r="1139" ht="14.75" customHeight="1" s="2"/>
    <row r="1140" ht="14.75" customHeight="1" s="2"/>
    <row r="1141" ht="14.75" customHeight="1" s="2"/>
    <row r="1142" ht="14.75" customHeight="1" s="2"/>
    <row r="1143" ht="14.75" customHeight="1" s="2"/>
    <row r="1144" ht="14.75" customHeight="1" s="2"/>
    <row r="1145" ht="14.75" customHeight="1" s="2"/>
    <row r="1146" ht="14.75" customHeight="1" s="2"/>
    <row r="1147" ht="14.75" customHeight="1" s="2"/>
    <row r="1148" ht="14.75" customHeight="1" s="2"/>
    <row r="1149" ht="14.75" customHeight="1" s="2"/>
    <row r="1150" ht="14.75" customHeight="1" s="2"/>
    <row r="1151" ht="14.75" customHeight="1" s="2"/>
    <row r="1152" ht="14.75" customHeight="1" s="2"/>
    <row r="1153" ht="14.75" customHeight="1" s="2"/>
    <row r="1154" ht="14.75" customHeight="1" s="2"/>
    <row r="1155" ht="14.75" customHeight="1" s="2"/>
    <row r="1156" ht="14.75" customHeight="1" s="2"/>
    <row r="1157" ht="14.75" customHeight="1" s="2"/>
    <row r="1158" ht="14.75" customHeight="1" s="2"/>
    <row r="1159" ht="14.75" customHeight="1" s="2"/>
    <row r="1160" ht="14.75" customHeight="1" s="2"/>
    <row r="1161" ht="14.75" customHeight="1" s="2"/>
    <row r="1162" ht="14.75" customHeight="1" s="2"/>
    <row r="1163" ht="14.75" customHeight="1" s="2"/>
    <row r="1164" ht="14.75" customHeight="1" s="2"/>
    <row r="1165" ht="14.75" customHeight="1" s="2"/>
    <row r="1166" ht="14.75" customHeight="1" s="2"/>
    <row r="1167" ht="14.75" customHeight="1" s="2"/>
    <row r="1168" ht="14.75" customHeight="1" s="2"/>
    <row r="1169" ht="14.75" customHeight="1" s="2"/>
    <row r="1170" ht="14.75" customHeight="1" s="2"/>
    <row r="1171" ht="14.75" customHeight="1" s="2"/>
    <row r="1172" ht="14.75" customHeight="1" s="2"/>
    <row r="1173" ht="14.75" customHeight="1" s="2"/>
    <row r="1174" ht="14.75" customHeight="1" s="2"/>
    <row r="1175" ht="14.75" customHeight="1" s="2"/>
  </sheetData>
  <pageMargins left="0.7" right="0.7" top="0.75" bottom="0.75" header="0.3" footer="0.3"/>
  <pageSetup orientation="portrait" paperSize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ColWidth="9" defaultRowHeight="14"/>
  <cols>
    <col width="80" customWidth="1" style="2" min="1" max="1"/>
  </cols>
  <sheetData>
    <row r="1" ht="17.5" customHeight="1" s="2">
      <c r="A1" s="1" t="inlineStr">
        <is>
          <t>【病理科月度运营数据模板 - 填写说明】</t>
        </is>
      </c>
    </row>
    <row r="2">
      <c r="A2" t="inlineStr"/>
    </row>
    <row r="3">
      <c r="A3" t="inlineStr">
        <is>
          <t>一、运营指标（Sheet 1）</t>
        </is>
      </c>
    </row>
    <row r="4">
      <c r="A4" t="inlineStr">
        <is>
          <t xml:space="preserve">   - 每月填写对应月份列的数据</t>
        </is>
      </c>
    </row>
    <row r="5">
      <c r="A5" t="inlineStr">
        <is>
          <t xml:space="preserve">   - "2025年度均值" 和 "本年度均值" 根据历史数据填写</t>
        </is>
      </c>
    </row>
    <row r="6">
      <c r="A6" t="inlineStr">
        <is>
          <t xml:space="preserve">   - 黄色底色行为分类标题行，无需填写数据</t>
        </is>
      </c>
    </row>
    <row r="7">
      <c r="A7" t="inlineStr">
        <is>
          <t xml:space="preserve">   - 缩进行（如非收费耗材）为子类目，对应大类</t>
        </is>
      </c>
    </row>
    <row r="8">
      <c r="A8" t="inlineStr">
        <is>
          <t xml:space="preserve">   - 加粗行为汇总行</t>
        </is>
      </c>
    </row>
    <row r="9">
      <c r="A9" t="inlineStr"/>
    </row>
    <row r="10">
      <c r="A10" t="inlineStr">
        <is>
          <t>二、全院排名（Sheet 2）</t>
        </is>
      </c>
    </row>
    <row r="11">
      <c r="A11" t="inlineStr">
        <is>
          <t xml:space="preserve">   - 每月更新排名数据</t>
        </is>
      </c>
    </row>
    <row r="12">
      <c r="A12" t="inlineStr">
        <is>
          <t xml:space="preserve">   - 满意度为5分制，保留3位小数</t>
        </is>
      </c>
    </row>
    <row r="13">
      <c r="A13" t="inlineStr">
        <is>
          <t xml:space="preserve">   - 支收比 = 支出/收入，保留3位小数</t>
        </is>
      </c>
    </row>
    <row r="14">
      <c r="A14" t="inlineStr"/>
    </row>
    <row r="15">
      <c r="A15" t="inlineStr">
        <is>
          <t>三、采购入库（Sheet 3）</t>
        </is>
      </c>
    </row>
    <row r="16">
      <c r="A16" t="inlineStr">
        <is>
          <t xml:space="preserve">   - 每行一笔采购入库记录</t>
        </is>
      </c>
    </row>
    <row r="17">
      <c r="A17" t="inlineStr">
        <is>
          <t xml:space="preserve">   - 金额单位为元</t>
        </is>
      </c>
    </row>
    <row r="18">
      <c r="A18" t="inlineStr">
        <is>
          <t xml:space="preserve">   - 日期格式：YYYY-MM-DD 或 YYYY/MM/DD</t>
        </is>
      </c>
    </row>
    <row r="19">
      <c r="A19" t="inlineStr"/>
    </row>
    <row r="20">
      <c r="A20" t="inlineStr">
        <is>
          <t>四、出库领用（Sheet 4）</t>
        </is>
      </c>
    </row>
    <row r="21">
      <c r="A21" t="inlineStr">
        <is>
          <t xml:space="preserve">   - 每行一笔出库记录</t>
        </is>
      </c>
    </row>
    <row r="22">
      <c r="A22" t="inlineStr">
        <is>
          <t xml:space="preserve">   - 金额单位为元</t>
        </is>
      </c>
    </row>
    <row r="23">
      <c r="A23" t="inlineStr">
        <is>
          <t xml:space="preserve">   - 日期格式同上</t>
        </is>
      </c>
    </row>
    <row r="24">
      <c r="A24" t="inlineStr"/>
    </row>
    <row r="25">
      <c r="A25" t="inlineStr">
        <is>
          <t>五、导入平台</t>
        </is>
      </c>
    </row>
    <row r="26">
      <c r="A26" t="inlineStr">
        <is>
          <t xml:space="preserve">   - 保存文件后，在分析平台上传此文件</t>
        </is>
      </c>
    </row>
    <row r="27">
      <c r="A27" t="inlineStr">
        <is>
          <t xml:space="preserve">   - 系统自动识别各 Sheet 的数据并生成分析报告</t>
        </is>
      </c>
    </row>
    <row r="28">
      <c r="A28" t="inlineStr">
        <is>
          <t xml:space="preserve">   - 导出的 HTML 报告可直接在浏览器打开查看</t>
        </is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病理科运营分析系统</dc:creator>
  <dcterms:created xmlns:dcterms="http://purl.org/dc/terms/" xmlns:xsi="http://www.w3.org/2001/XMLSchema-instance" xsi:type="dcterms:W3CDTF">2026-03-29T08:12:00Z</dcterms:created>
  <dcterms:modified xmlns:dcterms="http://purl.org/dc/terms/" xmlns:xsi="http://www.w3.org/2001/XMLSchema-instance" xsi:type="dcterms:W3CDTF">2026-03-29T17:23:44Z</dcterms:modified>
  <cp:lastModifiedBy>....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123202D766A64213B69F2004AD14C06D_12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